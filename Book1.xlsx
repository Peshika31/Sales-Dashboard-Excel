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E662C8E9-C005-4AD4-B26D-E8EBA032AC97}" xr6:coauthVersionLast="47" xr6:coauthVersionMax="47" xr10:uidLastSave="{00000000-0000-0000-0000-000000000000}"/>
  <bookViews>
    <workbookView xWindow="-108" yWindow="-108" windowWidth="23256" windowHeight="12456" activeTab="1" xr2:uid="{7BC87F05-F1E1-42BB-A3E4-1473F71B66F5}"/>
  </bookViews>
  <sheets>
    <sheet name="Sheet4" sheetId="5" r:id="rId1"/>
    <sheet name="Sheet6" sheetId="7" r:id="rId2"/>
    <sheet name="Sheet3" sheetId="11" r:id="rId3"/>
    <sheet name="Sheet7" sheetId="8" r:id="rId4"/>
    <sheet name="Sheet1" sheetId="9" r:id="rId5"/>
    <sheet name="Sheet9" sheetId="14" r:id="rId6"/>
    <sheet name="Sheet10" sheetId="15" r:id="rId7"/>
    <sheet name="Sheet2" sheetId="16" r:id="rId8"/>
    <sheet name="D3" sheetId="2" r:id="rId9"/>
  </sheets>
  <definedNames>
    <definedName name="ExternalData_1" localSheetId="8" hidden="1">'D3'!$A$1:$Q$1001</definedName>
    <definedName name="Slicer_City">#N/A</definedName>
    <definedName name="Slicer_Customer_type">#N/A</definedName>
    <definedName name="Slicer_Gender">#N/A</definedName>
    <definedName name="Slicer_Payment">#N/A</definedName>
    <definedName name="Slicer_Product_line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4EA2D7-C3AB-4545-A2AF-CBDE96662A06}" keepAlive="1" name="Query - D3" description="Connection to the 'D3' query in the workbook." type="5" refreshedVersion="8" background="1" saveData="1">
    <dbPr connection="Provider=Microsoft.Mashup.OleDb.1;Data Source=$Workbook$;Location=D3;Extended Properties=&quot;&quot;" command="SELECT * FROM [D3]"/>
  </connection>
</connections>
</file>

<file path=xl/sharedStrings.xml><?xml version="1.0" encoding="utf-8"?>
<sst xmlns="http://schemas.openxmlformats.org/spreadsheetml/2006/main" count="8068" uniqueCount="1137">
  <si>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</si>
  <si>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</si>
  <si>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</si>
  <si>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</si>
  <si>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</si>
  <si>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</si>
  <si>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</si>
  <si>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</si>
  <si>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</si>
  <si>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</si>
  <si>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</si>
  <si>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</si>
  <si>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</si>
  <si>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</si>
  <si>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</si>
  <si>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</si>
  <si>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</si>
  <si>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</si>
  <si>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</si>
  <si>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</si>
  <si>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</si>
  <si>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</si>
  <si>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</si>
  <si>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1/5/2019</t>
  </si>
  <si>
    <t>Ewallet</t>
  </si>
  <si>
    <t>226-31-3081</t>
  </si>
  <si>
    <t>C</t>
  </si>
  <si>
    <t>Naypyitaw</t>
  </si>
  <si>
    <t>Normal</t>
  </si>
  <si>
    <t>Electronic accessories</t>
  </si>
  <si>
    <t>3/8/2019</t>
  </si>
  <si>
    <t>Cash</t>
  </si>
  <si>
    <t>631-41-3108</t>
  </si>
  <si>
    <t>Male</t>
  </si>
  <si>
    <t>Home and lifestyle</t>
  </si>
  <si>
    <t>3/3/2019</t>
  </si>
  <si>
    <t>Credit card</t>
  </si>
  <si>
    <t>123-19-1176</t>
  </si>
  <si>
    <t>1/27/2019</t>
  </si>
  <si>
    <t>373-73-7910</t>
  </si>
  <si>
    <t>Sports and travel</t>
  </si>
  <si>
    <t>2/8/2019</t>
  </si>
  <si>
    <t>699-14-3026</t>
  </si>
  <si>
    <t>3/25/2019</t>
  </si>
  <si>
    <t>355-53-5943</t>
  </si>
  <si>
    <t>2/25/2019</t>
  </si>
  <si>
    <t>315-22-5665</t>
  </si>
  <si>
    <t>2/24/2019</t>
  </si>
  <si>
    <t>665-32-9167</t>
  </si>
  <si>
    <t>1/10/2019</t>
  </si>
  <si>
    <t>692-92-5582</t>
  </si>
  <si>
    <t>B</t>
  </si>
  <si>
    <t>Mandalay</t>
  </si>
  <si>
    <t>Food and beverages</t>
  </si>
  <si>
    <t>2/20/2019</t>
  </si>
  <si>
    <t>351-62-0822</t>
  </si>
  <si>
    <t>Fashion accessories</t>
  </si>
  <si>
    <t>2/6/2019</t>
  </si>
  <si>
    <t>529-56-3974</t>
  </si>
  <si>
    <t>3/9/2019</t>
  </si>
  <si>
    <t>365-64-0515</t>
  </si>
  <si>
    <t>2/12/2019</t>
  </si>
  <si>
    <t>252-56-2699</t>
  </si>
  <si>
    <t>2/7/2019</t>
  </si>
  <si>
    <t>829-34-3910</t>
  </si>
  <si>
    <t>3/29/2019</t>
  </si>
  <si>
    <t>299-46-1805</t>
  </si>
  <si>
    <t>1/15/2019</t>
  </si>
  <si>
    <t>656-95-9349</t>
  </si>
  <si>
    <t>3/11/2019</t>
  </si>
  <si>
    <t>765-26-6951</t>
  </si>
  <si>
    <t>1/1/2019</t>
  </si>
  <si>
    <t>329-62-1586</t>
  </si>
  <si>
    <t>1/21/2019</t>
  </si>
  <si>
    <t>319-50-3348</t>
  </si>
  <si>
    <t>300-71-4605</t>
  </si>
  <si>
    <t>371-85-5789</t>
  </si>
  <si>
    <t>3/5/2019</t>
  </si>
  <si>
    <t>273-16-6619</t>
  </si>
  <si>
    <t>3/15/2019</t>
  </si>
  <si>
    <t>636-48-8204</t>
  </si>
  <si>
    <t>2/17/2019</t>
  </si>
  <si>
    <t>549-59-1358</t>
  </si>
  <si>
    <t>3/2/2019</t>
  </si>
  <si>
    <t>227-03-5010</t>
  </si>
  <si>
    <t>3/22/2019</t>
  </si>
  <si>
    <t>649-29-6775</t>
  </si>
  <si>
    <t>189-17-4241</t>
  </si>
  <si>
    <t>3/10/2019</t>
  </si>
  <si>
    <t>145-94-9061</t>
  </si>
  <si>
    <t>1/25/2019</t>
  </si>
  <si>
    <t>848-62-7243</t>
  </si>
  <si>
    <t>871-79-8483</t>
  </si>
  <si>
    <t>149-71-6266</t>
  </si>
  <si>
    <t>1/28/2019</t>
  </si>
  <si>
    <t>640-49-2076</t>
  </si>
  <si>
    <t>595-11-5460</t>
  </si>
  <si>
    <t>183-56-6882</t>
  </si>
  <si>
    <t>232-16-2483</t>
  </si>
  <si>
    <t>1/7/2019</t>
  </si>
  <si>
    <t>129-29-8530</t>
  </si>
  <si>
    <t>272-65-1806</t>
  </si>
  <si>
    <t>333-73-7901</t>
  </si>
  <si>
    <t>3/23/2019</t>
  </si>
  <si>
    <t>777-82-7220</t>
  </si>
  <si>
    <t>280-35-5823</t>
  </si>
  <si>
    <t>1/17/2019</t>
  </si>
  <si>
    <t>554-53-8700</t>
  </si>
  <si>
    <t>2/2/2019</t>
  </si>
  <si>
    <t>354-25-5821</t>
  </si>
  <si>
    <t>228-96-1411</t>
  </si>
  <si>
    <t>3/4/2019</t>
  </si>
  <si>
    <t>617-15-4209</t>
  </si>
  <si>
    <t>3/16/2019</t>
  </si>
  <si>
    <t>132-32-9879</t>
  </si>
  <si>
    <t>370-41-7321</t>
  </si>
  <si>
    <t>2/27/2019</t>
  </si>
  <si>
    <t>727-46-3608</t>
  </si>
  <si>
    <t>669-54-1719</t>
  </si>
  <si>
    <t>2/10/2019</t>
  </si>
  <si>
    <t>574-22-5561</t>
  </si>
  <si>
    <t>3/19/2019</t>
  </si>
  <si>
    <t>326-78-5178</t>
  </si>
  <si>
    <t>2/3/2019</t>
  </si>
  <si>
    <t>162-48-8011</t>
  </si>
  <si>
    <t>616-24-2851</t>
  </si>
  <si>
    <t>778-71-5554</t>
  </si>
  <si>
    <t>242-55-6721</t>
  </si>
  <si>
    <t>3/7/2019</t>
  </si>
  <si>
    <t>399-46-5918</t>
  </si>
  <si>
    <t>2/28/2019</t>
  </si>
  <si>
    <t>106-35-6779</t>
  </si>
  <si>
    <t>3/27/2019</t>
  </si>
  <si>
    <t>635-40-6220</t>
  </si>
  <si>
    <t>817-48-8732</t>
  </si>
  <si>
    <t>1/20/2019</t>
  </si>
  <si>
    <t>120-06-4233</t>
  </si>
  <si>
    <t>3/12/2019</t>
  </si>
  <si>
    <t>285-68-5083</t>
  </si>
  <si>
    <t>2/15/2019</t>
  </si>
  <si>
    <t>803-83-5989</t>
  </si>
  <si>
    <t>347-34-2234</t>
  </si>
  <si>
    <t>199-75-8169</t>
  </si>
  <si>
    <t>3/6/2019</t>
  </si>
  <si>
    <t>853-23-2453</t>
  </si>
  <si>
    <t>2/14/2019</t>
  </si>
  <si>
    <t>877-22-3308</t>
  </si>
  <si>
    <t>3/13/2019</t>
  </si>
  <si>
    <t>838-78-4295</t>
  </si>
  <si>
    <t>109-28-2512</t>
  </si>
  <si>
    <t>232-11-3025</t>
  </si>
  <si>
    <t>1/24/2019</t>
  </si>
  <si>
    <t>382-03-4532</t>
  </si>
  <si>
    <t>393-65-2792</t>
  </si>
  <si>
    <t>1/6/2019</t>
  </si>
  <si>
    <t>796-12-2025</t>
  </si>
  <si>
    <t>2/11/2019</t>
  </si>
  <si>
    <t>510-95-6347</t>
  </si>
  <si>
    <t>841-35-6630</t>
  </si>
  <si>
    <t>287-21-9091</t>
  </si>
  <si>
    <t>1/22/2019</t>
  </si>
  <si>
    <t>732-94-0499</t>
  </si>
  <si>
    <t>1/13/2019</t>
  </si>
  <si>
    <t>263-10-3913</t>
  </si>
  <si>
    <t>1/9/2019</t>
  </si>
  <si>
    <t>381-20-0914</t>
  </si>
  <si>
    <t>1/12/2019</t>
  </si>
  <si>
    <t>829-49-1914</t>
  </si>
  <si>
    <t>756-01-7507</t>
  </si>
  <si>
    <t>870-72-4431</t>
  </si>
  <si>
    <t>847-38-7188</t>
  </si>
  <si>
    <t>1/26/2019</t>
  </si>
  <si>
    <t>480-63-2856</t>
  </si>
  <si>
    <t>1/23/2019</t>
  </si>
  <si>
    <t>787-56-0757</t>
  </si>
  <si>
    <t>2/23/2019</t>
  </si>
  <si>
    <t>360-39-5055</t>
  </si>
  <si>
    <t>730-50-9884</t>
  </si>
  <si>
    <t>362-58-8315</t>
  </si>
  <si>
    <t>633-44-8566</t>
  </si>
  <si>
    <t>504-35-8843</t>
  </si>
  <si>
    <t>1/2/2019</t>
  </si>
  <si>
    <t>318-68-5053</t>
  </si>
  <si>
    <t>565-80-5980</t>
  </si>
  <si>
    <t>225-32-0908</t>
  </si>
  <si>
    <t>873-51-0671</t>
  </si>
  <si>
    <t>152-08-9985</t>
  </si>
  <si>
    <t>512-91-0811</t>
  </si>
  <si>
    <t>594-34-4444</t>
  </si>
  <si>
    <t>766-85-7061</t>
  </si>
  <si>
    <t>871-39-9221</t>
  </si>
  <si>
    <t>2/9/2019</t>
  </si>
  <si>
    <t>865-92-6136</t>
  </si>
  <si>
    <t>733-01-9107</t>
  </si>
  <si>
    <t>163-56-7055</t>
  </si>
  <si>
    <t>3/26/2019</t>
  </si>
  <si>
    <t>189-98-2939</t>
  </si>
  <si>
    <t>3/1/2019</t>
  </si>
  <si>
    <t>551-21-3069</t>
  </si>
  <si>
    <t>2/1/2019</t>
  </si>
  <si>
    <t>212-62-1842</t>
  </si>
  <si>
    <t>3/28/2019</t>
  </si>
  <si>
    <t>716-39-1409</t>
  </si>
  <si>
    <t>704-48-3927</t>
  </si>
  <si>
    <t>628-34-3388</t>
  </si>
  <si>
    <t>630-74-5166</t>
  </si>
  <si>
    <t>588-01-7461</t>
  </si>
  <si>
    <t>3/24/2019</t>
  </si>
  <si>
    <t>861-77-0145</t>
  </si>
  <si>
    <t>479-26-8945</t>
  </si>
  <si>
    <t>2/5/2019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</si>
  <si>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</si>
  <si>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</si>
  <si>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</si>
  <si>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</si>
  <si>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</si>
  <si>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</si>
  <si>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</si>
  <si>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</si>
  <si>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</si>
  <si>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</si>
  <si>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</si>
  <si>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</si>
  <si>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</si>
  <si>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</si>
  <si>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</si>
  <si>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</si>
  <si>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</si>
  <si>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</si>
  <si>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</si>
  <si>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1/8/2019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</si>
  <si>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</si>
  <si>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</si>
  <si>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</si>
  <si>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</si>
  <si>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</si>
  <si>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</si>
  <si>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</si>
  <si>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</si>
  <si>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</si>
  <si>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</si>
  <si>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</si>
  <si>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</si>
  <si>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</si>
  <si>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</si>
  <si>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</si>
  <si>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</si>
  <si>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</si>
  <si>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</si>
  <si>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</si>
  <si>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</si>
  <si>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</si>
  <si>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</si>
  <si>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</si>
  <si>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</si>
  <si>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</si>
  <si>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</si>
  <si>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</si>
  <si>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</si>
  <si>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</si>
  <si>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</si>
  <si>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</si>
  <si>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</si>
  <si>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</si>
  <si>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</si>
  <si>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1/4/2019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</si>
  <si>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</si>
  <si>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</si>
  <si>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</si>
  <si>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</si>
  <si>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</si>
  <si>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</si>
  <si>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</si>
  <si>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</si>
  <si>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</si>
  <si>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</si>
  <si>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</si>
  <si>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</si>
  <si>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</si>
  <si>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</si>
  <si>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</si>
  <si>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</si>
  <si>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1/3/2019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</si>
  <si>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</si>
  <si>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</si>
  <si>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</si>
  <si>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</si>
  <si>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</si>
  <si>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</si>
  <si>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</si>
  <si>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</si>
  <si>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</si>
  <si>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</si>
  <si>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</si>
  <si>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</si>
  <si>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</si>
  <si>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</si>
  <si>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</si>
  <si>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</si>
  <si>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</si>
  <si>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</si>
  <si>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</si>
  <si>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</si>
  <si>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</si>
  <si>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</si>
  <si>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</si>
  <si>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</si>
  <si>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</si>
  <si>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</si>
  <si>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</si>
  <si>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</si>
  <si>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</si>
  <si>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</si>
  <si>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</si>
  <si>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</si>
  <si>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</si>
  <si>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</si>
  <si>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</si>
  <si>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</si>
  <si>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</si>
  <si>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</si>
  <si>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</si>
  <si>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</si>
  <si>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</si>
  <si>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</si>
  <si>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</si>
  <si>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</si>
  <si>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</si>
  <si>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</si>
  <si>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</si>
  <si>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</si>
  <si>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</si>
  <si>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</si>
  <si>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</si>
  <si>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</si>
  <si>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</si>
  <si>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</si>
  <si>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</si>
  <si>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</si>
  <si>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</si>
  <si>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</si>
  <si>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</si>
  <si>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</si>
  <si>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</si>
  <si>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</si>
  <si>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</si>
  <si>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</si>
  <si>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</si>
  <si>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</si>
  <si>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</si>
  <si>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</si>
  <si>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</si>
  <si>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</si>
  <si>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</si>
  <si>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</si>
  <si>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</si>
  <si>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</si>
  <si>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</si>
  <si>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</si>
  <si>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</si>
  <si>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</si>
  <si>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</si>
  <si>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</si>
  <si>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</si>
  <si>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</si>
  <si>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</si>
  <si>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</si>
  <si>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</si>
  <si>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</si>
  <si>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</si>
  <si>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</si>
  <si>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</si>
  <si>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</si>
  <si>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</si>
  <si>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</si>
  <si>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</si>
  <si>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</si>
  <si>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</si>
  <si>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</si>
  <si>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</si>
  <si>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</si>
  <si>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</si>
  <si>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</si>
  <si>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</si>
  <si>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</si>
  <si>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</si>
  <si>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</si>
  <si>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</si>
  <si>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</si>
  <si>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</si>
  <si>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</si>
  <si>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</si>
  <si>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</si>
  <si>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</si>
  <si>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</si>
  <si>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</si>
  <si>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</si>
  <si>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</si>
  <si>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</si>
  <si>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</si>
  <si>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</si>
  <si>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</si>
  <si>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</si>
  <si>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</si>
  <si>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</si>
  <si>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</si>
  <si>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</si>
  <si>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</si>
  <si>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</si>
  <si>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</si>
  <si>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</si>
  <si>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</si>
  <si>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</si>
  <si>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</si>
  <si>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</si>
  <si>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</si>
  <si>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</si>
  <si>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</si>
  <si>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</si>
  <si>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</si>
  <si>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</si>
  <si>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</si>
  <si>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</si>
  <si>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</si>
  <si>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</si>
  <si>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</si>
  <si>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</si>
  <si>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</si>
  <si>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</si>
  <si>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</si>
  <si>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</si>
  <si>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</si>
  <si>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</si>
  <si>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</si>
  <si>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</si>
  <si>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</si>
  <si>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</si>
  <si>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</si>
  <si>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</si>
  <si>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</si>
  <si>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</si>
  <si>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</si>
  <si>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</si>
  <si>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</si>
  <si>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</si>
  <si>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</si>
  <si>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</si>
  <si>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</si>
  <si>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</si>
  <si>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</si>
  <si>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</si>
  <si>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</si>
  <si>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</si>
  <si>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</si>
  <si>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</si>
  <si>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</si>
  <si>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</si>
  <si>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</si>
  <si>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</si>
  <si>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</si>
  <si>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</si>
  <si>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</si>
  <si>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</si>
  <si>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</si>
  <si>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</si>
  <si>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</si>
  <si>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</si>
  <si>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</si>
  <si>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</si>
  <si>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</si>
  <si>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2/4/2019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</si>
  <si>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</si>
  <si>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</si>
  <si>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</si>
  <si>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</si>
  <si>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</si>
  <si>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</si>
  <si>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</si>
  <si>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</si>
  <si>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</si>
  <si>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</si>
  <si>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</si>
  <si>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</si>
  <si>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</si>
  <si>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</si>
  <si>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</si>
  <si>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</si>
  <si>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</si>
  <si>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</si>
  <si>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</si>
  <si>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</si>
  <si>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</si>
  <si>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</si>
  <si>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</si>
  <si>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</si>
  <si>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</si>
  <si>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</si>
  <si>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</si>
  <si>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</si>
  <si>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</si>
  <si>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</si>
  <si>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</si>
  <si>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</si>
  <si>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</si>
  <si>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</si>
  <si>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</si>
  <si>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</si>
  <si>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</si>
  <si>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</si>
  <si>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</si>
  <si>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</si>
  <si>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</si>
  <si>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</si>
  <si>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</si>
  <si>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</si>
  <si>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</si>
  <si>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</si>
  <si>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</si>
  <si>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</si>
  <si>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</si>
  <si>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</si>
  <si>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</si>
  <si>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</si>
  <si>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</si>
  <si>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</si>
  <si>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</si>
  <si>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</si>
  <si>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</si>
  <si>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</si>
  <si>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</si>
  <si>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</si>
  <si>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</si>
  <si>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</si>
  <si>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</si>
  <si>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</si>
  <si>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</si>
  <si>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</si>
  <si>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</si>
  <si>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</si>
  <si>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</si>
  <si>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</si>
  <si>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</si>
  <si>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</si>
  <si>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</si>
  <si>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</si>
  <si>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</si>
  <si>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</si>
  <si>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</si>
  <si>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</si>
  <si>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</si>
  <si>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</si>
  <si>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</si>
  <si>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</si>
  <si>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</si>
  <si>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</si>
  <si>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</si>
  <si>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</si>
  <si>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</si>
  <si>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</si>
  <si>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</si>
  <si>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</si>
  <si>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</si>
  <si>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</si>
  <si>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</si>
  <si>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</si>
  <si>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</si>
  <si>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</si>
  <si>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</si>
  <si>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</si>
  <si>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</si>
  <si>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</si>
  <si>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</si>
  <si>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</si>
  <si>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</si>
  <si>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</si>
  <si>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</si>
  <si>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</si>
  <si>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</si>
  <si>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</si>
  <si>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</si>
  <si>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</si>
  <si>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</si>
  <si>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</si>
  <si>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</si>
  <si>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</si>
  <si>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</si>
  <si>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</si>
  <si>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</si>
  <si>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</si>
  <si>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</si>
  <si>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</si>
  <si>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</si>
  <si>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</si>
  <si>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</si>
  <si>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</si>
  <si>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</si>
  <si>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</si>
  <si>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</si>
  <si>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</si>
  <si>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</si>
  <si>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</si>
  <si>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</si>
  <si>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</si>
  <si>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</si>
  <si>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</si>
  <si>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</si>
  <si>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</si>
  <si>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</si>
  <si>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</si>
  <si>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</si>
  <si>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</si>
  <si>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</si>
  <si>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</si>
  <si>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</si>
  <si>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</si>
  <si>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</si>
  <si>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</si>
  <si>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</si>
  <si>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</si>
  <si>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</si>
  <si>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</si>
  <si>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</si>
  <si>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</si>
  <si>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</si>
  <si>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</si>
  <si>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</si>
  <si>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</si>
  <si>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</si>
  <si>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</si>
  <si>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</si>
  <si>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</si>
  <si>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</si>
  <si>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</si>
  <si>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</si>
  <si>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</si>
  <si>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</si>
  <si>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</si>
  <si>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</si>
  <si>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</si>
  <si>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</si>
  <si>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</si>
  <si>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</si>
  <si>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</si>
  <si>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</si>
  <si>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</si>
  <si>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</si>
  <si>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</si>
  <si>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</si>
  <si>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</si>
  <si>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</si>
  <si>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</si>
  <si>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</si>
  <si>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</si>
  <si>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</si>
  <si>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</si>
  <si>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</si>
  <si>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</si>
  <si>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</si>
  <si>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</si>
  <si>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</si>
  <si>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</si>
  <si>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</si>
  <si>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</si>
  <si>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</si>
  <si>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</si>
  <si>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</si>
  <si>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</si>
  <si>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</si>
  <si>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</si>
  <si>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</si>
  <si>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</si>
  <si>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</si>
  <si>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</si>
  <si>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</si>
  <si>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</si>
  <si>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</si>
  <si>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</si>
  <si>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</si>
  <si>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</si>
  <si>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</si>
  <si>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</si>
  <si>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</si>
  <si>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</si>
  <si>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</si>
  <si>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</si>
  <si>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</si>
  <si>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</si>
  <si>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</si>
  <si>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</si>
  <si>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</si>
  <si>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</si>
  <si>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</si>
  <si>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</si>
  <si>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</si>
  <si>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</si>
  <si>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</si>
  <si>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</si>
  <si>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</si>
  <si>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</si>
  <si>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</si>
  <si>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</si>
  <si>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</si>
  <si>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</si>
  <si>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</si>
  <si>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</si>
  <si>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</si>
  <si>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</si>
  <si>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</si>
  <si>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</si>
  <si>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</si>
  <si>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</si>
  <si>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</si>
  <si>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</si>
  <si>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</si>
  <si>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</si>
  <si>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</si>
  <si>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</si>
  <si>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</si>
  <si>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</si>
  <si>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</si>
  <si>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</si>
  <si>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</si>
  <si>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</si>
  <si>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</si>
  <si>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</si>
  <si>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</si>
  <si>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</si>
  <si>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</si>
  <si>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</si>
  <si>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</si>
  <si>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</si>
  <si>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</si>
  <si>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</si>
  <si>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</si>
  <si>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</si>
  <si>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</si>
  <si>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</si>
  <si>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</si>
  <si>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</si>
  <si>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</si>
  <si>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</si>
  <si>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</si>
  <si>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</si>
  <si>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</si>
  <si>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</si>
  <si>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</si>
  <si>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</si>
  <si>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</si>
  <si>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</si>
  <si>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</si>
  <si>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</si>
  <si>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</si>
  <si>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</si>
  <si>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</si>
  <si>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</si>
  <si>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</si>
  <si>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</si>
  <si>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</si>
  <si>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</si>
  <si>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</si>
  <si>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</si>
  <si>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</si>
  <si>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</si>
  <si>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</si>
  <si>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</si>
  <si>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</si>
  <si>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</si>
  <si>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</si>
  <si>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</si>
  <si>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</si>
  <si>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</si>
  <si>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</si>
  <si>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</si>
  <si>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</si>
  <si>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</si>
  <si>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</si>
  <si>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</si>
  <si>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</si>
  <si>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</si>
  <si>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</si>
  <si>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</si>
  <si>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</si>
  <si>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</si>
  <si>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</si>
  <si>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</si>
  <si>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</si>
  <si>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</si>
  <si>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</si>
  <si>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</si>
  <si>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</si>
  <si>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</si>
  <si>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</si>
  <si>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</si>
  <si>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</si>
  <si>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</si>
  <si>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</si>
  <si>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</si>
  <si>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</si>
  <si>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</si>
  <si>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</si>
  <si>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</si>
  <si>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</si>
  <si>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</si>
  <si>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</si>
  <si>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</si>
  <si>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</si>
  <si>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</si>
  <si>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</si>
  <si>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</si>
  <si>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</si>
  <si>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</si>
  <si>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</si>
  <si>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</si>
  <si>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</si>
  <si>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</si>
  <si>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</si>
  <si>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</si>
  <si>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</si>
  <si>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</si>
  <si>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</si>
  <si>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</si>
  <si>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</si>
  <si>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</si>
  <si>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</si>
  <si>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</si>
  <si>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</si>
  <si>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</si>
  <si>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</si>
  <si>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</si>
  <si>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</si>
  <si>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</si>
  <si>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</si>
  <si>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</si>
  <si>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</si>
  <si>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</si>
  <si>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</si>
  <si>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</si>
  <si>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</si>
  <si>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</si>
  <si>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</si>
  <si>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</si>
  <si>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</si>
  <si>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</si>
  <si>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</si>
  <si>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</si>
  <si>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</si>
  <si>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</si>
  <si>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</si>
  <si>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</si>
  <si>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</si>
  <si>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</si>
  <si>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</si>
  <si>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</si>
  <si>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</si>
  <si>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</si>
  <si>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</si>
  <si>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</si>
  <si>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</si>
  <si>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</si>
  <si>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</si>
  <si>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</si>
  <si>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</si>
  <si>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</si>
  <si>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</si>
  <si>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</si>
  <si>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</si>
  <si>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</si>
  <si>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</si>
  <si>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</si>
  <si>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</si>
  <si>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</si>
  <si>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</si>
  <si>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</si>
  <si>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</si>
  <si>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</si>
  <si>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</si>
  <si>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</si>
  <si>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</si>
  <si>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</si>
  <si>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</si>
  <si>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</si>
  <si>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</si>
  <si>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</si>
  <si>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</si>
  <si>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</si>
  <si>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</si>
  <si>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</si>
  <si>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</si>
  <si>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</si>
  <si>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</si>
  <si>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</si>
  <si>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</si>
  <si>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</si>
  <si>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</si>
  <si>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</si>
  <si>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</si>
  <si>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</si>
  <si>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</si>
  <si>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</si>
  <si>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</si>
  <si>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</si>
  <si>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</si>
  <si>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</si>
  <si>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</si>
  <si>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</si>
  <si>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</si>
  <si>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</si>
  <si>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</si>
  <si>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</si>
  <si>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</si>
  <si>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</si>
  <si>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</si>
  <si>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</si>
  <si>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</si>
  <si>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</si>
  <si>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</si>
  <si>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</si>
  <si>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</si>
  <si>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</si>
  <si>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</si>
  <si>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</si>
  <si>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</si>
  <si>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</si>
  <si>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</si>
  <si>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</si>
  <si>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</si>
  <si>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</si>
  <si>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</si>
  <si>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</si>
  <si>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</si>
  <si>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</si>
  <si>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</si>
  <si>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</si>
  <si>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</si>
  <si>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</si>
  <si>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</si>
  <si>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</si>
  <si>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</si>
  <si>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</si>
  <si>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</si>
  <si>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</si>
  <si>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</si>
  <si>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</si>
  <si>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</si>
  <si>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</si>
  <si>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</si>
  <si>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</si>
  <si>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</si>
  <si>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</si>
  <si>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</si>
  <si>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</si>
  <si>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</si>
  <si>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</si>
  <si>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</si>
  <si>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</si>
  <si>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</si>
  <si>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</si>
  <si>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</si>
  <si>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</si>
  <si>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</si>
  <si>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</si>
  <si>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</si>
  <si>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</si>
  <si>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</si>
  <si>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</si>
  <si>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</si>
  <si>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</si>
  <si>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</si>
  <si>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</si>
  <si>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</si>
  <si>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</si>
  <si>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</si>
  <si>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</si>
  <si>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</si>
  <si>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</si>
  <si>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</si>
  <si>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</si>
  <si>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</si>
  <si>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</si>
  <si>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</si>
  <si>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</si>
  <si>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</si>
  <si>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</si>
  <si>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</si>
  <si>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</si>
  <si>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</si>
  <si>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</si>
  <si>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</si>
  <si>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</si>
  <si>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</si>
  <si>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</si>
  <si>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</si>
  <si>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</si>
  <si>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</si>
  <si>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</si>
  <si>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</si>
  <si>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</si>
  <si>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</si>
  <si>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</si>
  <si>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</si>
  <si>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</si>
  <si>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</si>
  <si>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</si>
  <si>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</si>
  <si>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</si>
  <si>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</si>
  <si>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</si>
  <si>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</si>
  <si>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</si>
  <si>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</si>
  <si>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</si>
  <si>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</si>
  <si>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</si>
  <si>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</si>
  <si>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</si>
  <si>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</si>
  <si>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</si>
  <si>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</si>
  <si>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</si>
  <si>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</si>
  <si>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</si>
  <si>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</si>
  <si>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</si>
  <si>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</si>
  <si>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</si>
  <si>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</si>
  <si>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</si>
  <si>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</si>
  <si>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</si>
  <si>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</si>
  <si>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</si>
  <si>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</si>
  <si>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</si>
  <si>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</si>
  <si>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</si>
  <si>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</si>
  <si>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</si>
  <si>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</si>
  <si>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</si>
  <si>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</si>
  <si>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</si>
  <si>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</si>
  <si>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</si>
  <si>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</si>
  <si>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</si>
  <si>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</si>
  <si>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</si>
  <si>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</si>
  <si>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</si>
  <si>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</si>
  <si>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</si>
  <si>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</si>
  <si>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</si>
  <si>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</si>
  <si>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</si>
  <si>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</si>
  <si>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</si>
  <si>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</si>
  <si>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</si>
  <si>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</si>
  <si>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</si>
  <si>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</si>
  <si>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</si>
  <si>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</si>
  <si>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</si>
  <si>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</si>
  <si>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</si>
  <si>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</si>
  <si>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</si>
  <si>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</si>
  <si>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</si>
  <si>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</si>
  <si>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</si>
  <si>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</si>
  <si>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</si>
  <si>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</si>
  <si>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</si>
  <si>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</si>
  <si>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</si>
  <si>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</si>
  <si>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</si>
  <si>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</si>
  <si>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</si>
  <si>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</si>
  <si>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</si>
  <si>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</si>
  <si>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</si>
  <si>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</si>
  <si>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</si>
  <si>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</si>
  <si>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</si>
  <si>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</si>
  <si>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</si>
  <si>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</si>
  <si>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</si>
  <si>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</si>
  <si>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</si>
  <si>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</si>
  <si>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</si>
  <si>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</si>
  <si>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</si>
  <si>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</si>
  <si>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</si>
  <si>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</si>
  <si>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</si>
  <si>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</si>
  <si>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</si>
  <si>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</si>
  <si>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</si>
  <si>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</si>
  <si>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</si>
  <si>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</si>
  <si>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</si>
  <si>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</si>
  <si>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</si>
  <si>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</si>
  <si>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</si>
  <si>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</si>
  <si>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</si>
  <si>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</si>
  <si>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</si>
  <si>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</si>
  <si>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</si>
  <si>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</si>
  <si>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</si>
  <si>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</si>
  <si>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</si>
  <si>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</si>
  <si>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</si>
  <si>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</si>
  <si>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</si>
  <si>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Sales by City</t>
  </si>
  <si>
    <t>Total Sales</t>
  </si>
  <si>
    <t>Tax Amount</t>
  </si>
  <si>
    <t>Unit Price Analysis</t>
  </si>
  <si>
    <t>Gross Income Analysis</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</si>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</sst>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_ ;_ [$₹-4009]\ * \-#,##0_ ;_ [$₹-4009]\ * &quot;-&quot;??_ ;_ @_ "/>
    <numFmt numFmtId="166" formatCode="_ &quot;₹&quot;\ * #,##0_ ;_ &quot;₹&quot;\ * \-#,##0_ ;_ &quot;₹&quot;\ * &quot;-&quot;??_ ;_ @_ "/>
  </numFmts>
  <fonts count="4" x14ac:knownFonts="1">
    <font>
      <sz val="11"/>
      <color theme="1"/>
      <name val="Calibri"/>
      <family val="2"/>
      <scheme val="minor"/>
    </font>
    <font>
      <sz val="11"/>
      <color theme="0"/>
      <name val="Calibri"/>
      <family val="2"/>
      <scheme val="minor"/>
    </font>
    <font>
      <sz val="22"/>
      <color theme="0"/>
      <name val="Cambria"/>
      <family val="1"/>
    </font>
    <font>
      <sz val="30"/>
      <color theme="0"/>
      <name val="Cambria"/>
      <family val="1"/>
    </font>
  </fonts>
  <fills count="4">
    <fill>
      <patternFill patternType="none"/>
    </fill>
    <fill>
      <patternFill patternType="gray125"/>
    </fill>
    <fill>
      <patternFill patternType="solid">
        <fgColor theme="2"/>
        <bgColor indexed="64"/>
      </patternFill>
    </fill>
    <fill>
      <patternFill patternType="solid">
        <fgColor rgb="FF34415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 fillId="2" borderId="0" xfId="0" applyFont="1" applyFill="1"/>
    <xf numFmtId="0" fontId="1" fillId="2" borderId="0" xfId="0" applyFont="1" applyFill="1" applyAlignment="1">
      <alignment horizontal="center" vertical="center"/>
    </xf>
    <xf numFmtId="0" fontId="3"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15">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_ [$₹-4009]\ * #,##0_ ;_ [$₹-4009]\ * \-#,##0_ ;_ [$₹-4009]\ * &quot;-&quot;??_ ;_ @_ "/>
    </dxf>
    <dxf>
      <numFmt numFmtId="165" formatCode="_ [$₹-4009]\ * #,##0_ ;_ [$₹-4009]\ * \-#,##0_ ;_ [$₹-4009]\ * &quot;-&quot;??_ ;_ @_ "/>
    </dxf>
  </dxfs>
  <tableStyles count="0" defaultTableStyle="TableStyleMedium2" defaultPivotStyle="PivotStyleLight16"/>
  <colors>
    <mruColors>
      <color rgb="FF344152"/>
      <color rgb="FF5B718F"/>
      <color rgb="FF3C02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9350053192864E-2"/>
          <c:y val="0.33097444631218853"/>
          <c:w val="0.61278690093612076"/>
          <c:h val="0.48306533663629125"/>
        </c:manualLayout>
      </c:layout>
      <c:pie3DChart>
        <c:varyColors val="1"/>
        <c:ser>
          <c:idx val="0"/>
          <c:order val="0"/>
          <c:tx>
            <c:strRef>
              <c:f>Sheet4!$B$3</c:f>
              <c:strCache>
                <c:ptCount val="1"/>
                <c:pt idx="0">
                  <c:v>Total Sales</c:v>
                </c:pt>
              </c:strCache>
            </c:strRef>
          </c:tx>
          <c:explosion val="1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358B-4EBC-9F4F-D985A6EF01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67C-4308-A3E0-26930BACF8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67C-4308-A3E0-26930BACF8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67C-4308-A3E0-26930BACF8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67C-4308-A3E0-26930BACF84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67C-4308-A3E0-26930BACF8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Sheet4!$B$4:$B$10</c:f>
              <c:numCache>
                <c:formatCode>_ [$₹-4009]\ * #,##0_ ;_ [$₹-4009]\ * \-#,##0_ ;_ [$₹-4009]\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358B-4EBC-9F4F-D985A6EF0130}"/>
            </c:ext>
          </c:extLst>
        </c:ser>
        <c:ser>
          <c:idx val="1"/>
          <c:order val="1"/>
          <c:tx>
            <c:strRef>
              <c:f>Sheet4!$C$3</c:f>
              <c:strCache>
                <c:ptCount val="1"/>
                <c:pt idx="0">
                  <c:v>Tax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67C-4308-A3E0-26930BACF8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67C-4308-A3E0-26930BACF8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67C-4308-A3E0-26930BACF8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67C-4308-A3E0-26930BACF8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67C-4308-A3E0-26930BACF84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767C-4308-A3E0-26930BACF8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Sheet4!$C$4:$C$10</c:f>
              <c:numCache>
                <c:formatCode>_ [$₹-4009]\ * #,##0_ ;_ [$₹-4009]\ * \-#,##0_ ;_ [$₹-4009]\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1-358B-4EBC-9F4F-D985A6EF0130}"/>
            </c:ext>
          </c:extLst>
        </c:ser>
        <c:ser>
          <c:idx val="2"/>
          <c:order val="2"/>
          <c:tx>
            <c:strRef>
              <c:f>Sheet4!$D$3</c:f>
              <c:strCache>
                <c:ptCount val="1"/>
                <c:pt idx="0">
                  <c:v>Unit Price Analysis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767C-4308-A3E0-26930BACF8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67C-4308-A3E0-26930BACF8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67C-4308-A3E0-26930BACF8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67C-4308-A3E0-26930BACF8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67C-4308-A3E0-26930BACF84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67C-4308-A3E0-26930BACF8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Sheet4!$D$4:$D$10</c:f>
              <c:numCache>
                <c:formatCode>_ [$₹-4009]\ * #,##0_ ;_ [$₹-4009]\ * \-#,##0_ ;_ [$₹-4009]\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05-358B-4EBC-9F4F-D985A6EF013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[Book1.xlsx]Sheet6!PivotTable5</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 Sales</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Sheet6!$A$4:$A$7</c:f>
              <c:strCache>
                <c:ptCount val="3"/>
                <c:pt idx="0">
                  <c:v>Mandalay</c:v>
                </c:pt>
                <c:pt idx="1">
                  <c:v>Naypyitaw</c:v>
                </c:pt>
                <c:pt idx="2">
                  <c:v>Yangon</c:v>
                </c:pt>
              </c:strCache>
            </c:strRef>
          </c:cat>
          <c:val>
            <c:numRef>
              <c:f>Sheet6!$B$4:$B$7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57E8-419D-89B2-F46BBBED0467}"/>
            </c:ext>
          </c:extLst>
        </c:ser>
        <c:ser>
          <c:idx val="1"/>
          <c:order val="1"/>
          <c:tx>
            <c:strRef>
              <c:f>Sheet6!$C$3</c:f>
              <c:strCache>
                <c:ptCount val="1"/>
                <c:pt idx="0">
                  <c:v>Gross Income Analysis</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Sheet6!$A$4:$A$7</c:f>
              <c:strCache>
                <c:ptCount val="3"/>
                <c:pt idx="0">
                  <c:v>Mandalay</c:v>
                </c:pt>
                <c:pt idx="1">
                  <c:v>Naypyitaw</c:v>
                </c:pt>
                <c:pt idx="2">
                  <c:v>Yangon</c:v>
                </c:pt>
              </c:strCache>
            </c:strRef>
          </c:cat>
          <c:val>
            <c:numRef>
              <c:f>Sheet6!$C$4:$C$7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57E8-419D-89B2-F46BBBED0467}"/>
            </c:ext>
          </c:extLst>
        </c:ser>
        <c:dLbls>
          <c:showLegendKey val="0"/>
          <c:showVal val="1"/>
          <c:showCatName val="0"/>
          <c:showSerName val="0"/>
          <c:showPercent val="0"/>
          <c:showBubbleSize val="0"/>
        </c:dLbls>
        <c:gapWidth val="150"/>
        <c:gapDepth val="0"/>
        <c:shape val="box"/>
        <c:axId val="1119134799"/>
        <c:axId val="1317230735"/>
        <c:axId val="0"/>
      </c:bar3DChart>
      <c:catAx>
        <c:axId val="1119134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7230735"/>
        <c:crosses val="autoZero"/>
        <c:auto val="1"/>
        <c:lblAlgn val="ctr"/>
        <c:lblOffset val="100"/>
        <c:noMultiLvlLbl val="0"/>
      </c:catAx>
      <c:valAx>
        <c:axId val="1317230735"/>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3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Sheet3!$A$4:$A$6</c:f>
              <c:strCache>
                <c:ptCount val="2"/>
                <c:pt idx="0">
                  <c:v>Member</c:v>
                </c:pt>
                <c:pt idx="1">
                  <c:v>Normal</c:v>
                </c:pt>
              </c:strCache>
            </c:strRef>
          </c:cat>
          <c:val>
            <c:numRef>
              <c:f>Sheet3!$B$4:$B$6</c:f>
              <c:numCache>
                <c:formatCode>General</c:formatCode>
                <c:ptCount val="2"/>
                <c:pt idx="0">
                  <c:v>53704.686000000016</c:v>
                </c:pt>
                <c:pt idx="1">
                  <c:v>52492.986000000026</c:v>
                </c:pt>
              </c:numCache>
            </c:numRef>
          </c:val>
          <c:extLst>
            <c:ext xmlns:c16="http://schemas.microsoft.com/office/drawing/2014/chart" uri="{C3380CC4-5D6E-409C-BE32-E72D297353CC}">
              <c16:uniqueId val="{00000000-1962-45F4-A46C-C9F4CA957328}"/>
            </c:ext>
          </c:extLst>
        </c:ser>
        <c:dLbls>
          <c:showLegendKey val="0"/>
          <c:showVal val="0"/>
          <c:showCatName val="0"/>
          <c:showSerName val="0"/>
          <c:showPercent val="0"/>
          <c:showBubbleSize val="0"/>
        </c:dLbls>
        <c:gapWidth val="150"/>
        <c:shape val="box"/>
        <c:axId val="2050404928"/>
        <c:axId val="2050412128"/>
        <c:axId val="0"/>
      </c:bar3DChart>
      <c:catAx>
        <c:axId val="20504049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12128"/>
        <c:crosses val="autoZero"/>
        <c:auto val="1"/>
        <c:lblAlgn val="ctr"/>
        <c:lblOffset val="100"/>
        <c:noMultiLvlLbl val="0"/>
      </c:catAx>
      <c:valAx>
        <c:axId val="205041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9-32FE-4EC2-B6B2-26D9C2CE7C1C}"/>
              </c:ext>
            </c:extLst>
          </c:dPt>
          <c:dPt>
            <c:idx val="1"/>
            <c:invertIfNegative val="0"/>
            <c:bubble3D val="0"/>
            <c:extLst>
              <c:ext xmlns:c16="http://schemas.microsoft.com/office/drawing/2014/chart" uri="{C3380CC4-5D6E-409C-BE32-E72D297353CC}">
                <c16:uniqueId val="{00000003-8DAB-4588-8203-0B95E1A3FDFB}"/>
              </c:ext>
            </c:extLst>
          </c:dPt>
          <c:dPt>
            <c:idx val="2"/>
            <c:invertIfNegative val="0"/>
            <c:bubble3D val="0"/>
            <c:extLst>
              <c:ext xmlns:c16="http://schemas.microsoft.com/office/drawing/2014/chart" uri="{C3380CC4-5D6E-409C-BE32-E72D297353CC}">
                <c16:uniqueId val="{00000005-8DAB-4588-8203-0B95E1A3FD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Mandalay</c:v>
                </c:pt>
                <c:pt idx="1">
                  <c:v>Naypyitaw</c:v>
                </c:pt>
                <c:pt idx="2">
                  <c:v>Yangon</c:v>
                </c:pt>
              </c:strCache>
            </c:strRef>
          </c:cat>
          <c:val>
            <c:numRef>
              <c:f>Sheet7!$B$4:$B$7</c:f>
              <c:numCache>
                <c:formatCode>_ [$₹-4009]\ * #,##0_ ;_ [$₹-4009]\ * \-#,##0_ ;_ [$₹-4009]\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32FE-4EC2-B6B2-26D9C2CE7C1C}"/>
            </c:ext>
          </c:extLst>
        </c:ser>
        <c:dLbls>
          <c:showLegendKey val="0"/>
          <c:showVal val="0"/>
          <c:showCatName val="0"/>
          <c:showSerName val="0"/>
          <c:showPercent val="0"/>
          <c:showBubbleSize val="0"/>
        </c:dLbls>
        <c:gapWidth val="182"/>
        <c:axId val="644239567"/>
        <c:axId val="644246287"/>
      </c:barChart>
      <c:valAx>
        <c:axId val="644246287"/>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39567"/>
        <c:crosses val="autoZero"/>
        <c:crossBetween val="between"/>
      </c:valAx>
      <c:catAx>
        <c:axId val="64423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462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FCA0-46F6-9C80-0C1368CB345C}"/>
            </c:ext>
          </c:extLst>
        </c:ser>
        <c:dLbls>
          <c:dLblPos val="t"/>
          <c:showLegendKey val="0"/>
          <c:showVal val="1"/>
          <c:showCatName val="0"/>
          <c:showSerName val="0"/>
          <c:showPercent val="0"/>
          <c:showBubbleSize val="0"/>
        </c:dLbls>
        <c:marker val="1"/>
        <c:smooth val="0"/>
        <c:axId val="1909889392"/>
        <c:axId val="1909890352"/>
      </c:lineChart>
      <c:catAx>
        <c:axId val="19098893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9890352"/>
        <c:crosses val="autoZero"/>
        <c:auto val="1"/>
        <c:lblAlgn val="ctr"/>
        <c:lblOffset val="100"/>
        <c:noMultiLvlLbl val="0"/>
      </c:catAx>
      <c:valAx>
        <c:axId val="1909890352"/>
        <c:scaling>
          <c:orientation val="minMax"/>
        </c:scaling>
        <c:delete val="0"/>
        <c:axPos val="l"/>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988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[Book1.xlsx]Sheet10!PivotTable5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Sheet10!$A$4:$A$7</c:f>
              <c:strCache>
                <c:ptCount val="3"/>
                <c:pt idx="0">
                  <c:v>A</c:v>
                </c:pt>
                <c:pt idx="1">
                  <c:v>B</c:v>
                </c:pt>
                <c:pt idx="2">
                  <c:v>C</c:v>
                </c:pt>
              </c:strCache>
            </c:strRef>
          </c:cat>
          <c:val>
            <c:numRef>
              <c:f>Sheet10!$B$4:$B$7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527B-467D-83AC-AF80711C0330}"/>
            </c:ext>
          </c:extLst>
        </c:ser>
        <c:ser>
          <c:idx val="1"/>
          <c:order val="1"/>
          <c:tx>
            <c:strRef>
              <c:f>Sheet10!$C$3</c:f>
              <c:strCache>
                <c:ptCount val="1"/>
                <c:pt idx="0">
                  <c:v>Tax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Sheet10!$A$4:$A$7</c:f>
              <c:strCache>
                <c:ptCount val="3"/>
                <c:pt idx="0">
                  <c:v>A</c:v>
                </c:pt>
                <c:pt idx="1">
                  <c:v>B</c:v>
                </c:pt>
                <c:pt idx="2">
                  <c:v>C</c:v>
                </c:pt>
              </c:strCache>
            </c:strRef>
          </c:cat>
          <c:val>
            <c:numRef>
              <c:f>Sheet10!$C$4:$C$7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527B-467D-83AC-AF80711C0330}"/>
            </c:ext>
          </c:extLst>
        </c:ser>
        <c:ser>
          <c:idx val="2"/>
          <c:order val="2"/>
          <c:tx>
            <c:strRef>
              <c:f>Sheet10!$D$3</c:f>
              <c:strCache>
                <c:ptCount val="1"/>
                <c:pt idx="0">
                  <c:v>Unit Price Analysis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Sheet10!$A$4:$A$7</c:f>
              <c:strCache>
                <c:ptCount val="3"/>
                <c:pt idx="0">
                  <c:v>A</c:v>
                </c:pt>
                <c:pt idx="1">
                  <c:v>B</c:v>
                </c:pt>
                <c:pt idx="2">
                  <c:v>C</c:v>
                </c:pt>
              </c:strCache>
            </c:strRef>
          </c:cat>
          <c:val>
            <c:numRef>
              <c:f>Sheet10!$D$4:$D$7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527B-467D-83AC-AF80711C0330}"/>
            </c:ext>
          </c:extLst>
        </c:ser>
        <c:dLbls>
          <c:dLblPos val="outEnd"/>
          <c:showLegendKey val="0"/>
          <c:showVal val="1"/>
          <c:showCatName val="0"/>
          <c:showSerName val="0"/>
          <c:showPercent val="0"/>
          <c:showBubbleSize val="0"/>
        </c:dLbls>
        <c:gapWidth val="100"/>
        <c:overlap val="-24"/>
        <c:axId val="1043915712"/>
        <c:axId val="1717475792"/>
      </c:barChart>
      <c:catAx>
        <c:axId val="1043915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475792"/>
        <c:crosses val="autoZero"/>
        <c:auto val="1"/>
        <c:lblAlgn val="ctr"/>
        <c:lblOffset val="100"/>
        <c:noMultiLvlLbl val="0"/>
      </c:catAx>
      <c:valAx>
        <c:axId val="171747579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391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[Book1.xlsx]Sheet4!PivotTable4</c:name>
    <c:fmtId val="6"/>
  </c:pivotSource>
  <c:chart>
    <c:title>
      <c:tx>
        <c:rich>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vs Tax vs Unit Price</a:t>
            </a:r>
            <a:endParaRPr lang="en-IN"/>
          </a:p>
        </c:rich>
      </c:tx>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pivotFmt>
      <c:pivotFmt>
        <c:idx val="3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9350053192864E-2"/>
          <c:y val="0.33097444631218853"/>
          <c:w val="0.61278690093612076"/>
          <c:h val="0.48306533663629125"/>
        </c:manualLayout>
      </c:layout>
      <c:pie3DChart>
        <c:varyColors val="1"/>
        <c:ser>
          <c:idx val="0"/>
          <c:order val="0"/>
          <c:tx>
            <c:strRef>
              <c:f>Sheet4!$B$3</c:f>
              <c:strCache>
                <c:ptCount val="1"/>
                <c:pt idx="0">
                  <c:v>Total Sales</c:v>
                </c:pt>
              </c:strCache>
            </c:strRef>
          </c:tx>
          <c:explosion val="15"/>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D4D-4D32-B84F-CBDD5A13F4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D4D-4D32-B84F-CBDD5A13F4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D4D-4D32-B84F-CBDD5A13F4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D4D-4D32-B84F-CBDD5A13F4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D4D-4D32-B84F-CBDD5A13F4E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D4D-4D32-B84F-CBDD5A13F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Sheet4!$B$4:$B$10</c:f>
              <c:numCache>
                <c:formatCode>_ [$₹-4009]\ * #,##0_ ;_ [$₹-4009]\ * \-#,##0_ ;_ [$₹-4009]\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5D4D-4D32-B84F-CBDD5A13F4E3}"/>
            </c:ext>
          </c:extLst>
        </c:ser>
        <c:ser>
          <c:idx val="1"/>
          <c:order val="1"/>
          <c:tx>
            <c:strRef>
              <c:f>Sheet4!$C$3</c:f>
              <c:strCache>
                <c:ptCount val="1"/>
                <c:pt idx="0">
                  <c:v>Tax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5D4D-4D32-B84F-CBDD5A13F4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5D4D-4D32-B84F-CBDD5A13F4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5D4D-4D32-B84F-CBDD5A13F4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5D4D-4D32-B84F-CBDD5A13F4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5D4D-4D32-B84F-CBDD5A13F4E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5D4D-4D32-B84F-CBDD5A13F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Sheet4!$C$4:$C$10</c:f>
              <c:numCache>
                <c:formatCode>_ [$₹-4009]\ * #,##0_ ;_ [$₹-4009]\ * \-#,##0_ ;_ [$₹-4009]\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19-5D4D-4D32-B84F-CBDD5A13F4E3}"/>
            </c:ext>
          </c:extLst>
        </c:ser>
        <c:ser>
          <c:idx val="2"/>
          <c:order val="2"/>
          <c:tx>
            <c:strRef>
              <c:f>Sheet4!$D$3</c:f>
              <c:strCache>
                <c:ptCount val="1"/>
                <c:pt idx="0">
                  <c:v>Unit Price Analysis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5D4D-4D32-B84F-CBDD5A13F4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5D4D-4D32-B84F-CBDD5A13F4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5D4D-4D32-B84F-CBDD5A13F4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5D4D-4D32-B84F-CBDD5A13F4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5D4D-4D32-B84F-CBDD5A13F4E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5D4D-4D32-B84F-CBDD5A13F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Sheet4!$D$4:$D$10</c:f>
              <c:numCache>
                <c:formatCode>_ [$₹-4009]\ * #,##0_ ;_ [$₹-4009]\ * \-#,##0_ ;_ [$₹-4009]\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26-5D4D-4D32-B84F-CBDD5A13F4E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FCA0-46F6-9C80-0C1368CB345C}"/>
            </c:ext>
          </c:extLst>
        </c:ser>
        <c:dLbls>
          <c:dLblPos val="t"/>
          <c:showLegendKey val="0"/>
          <c:showVal val="1"/>
          <c:showCatName val="0"/>
          <c:showSerName val="0"/>
          <c:showPercent val="0"/>
          <c:showBubbleSize val="0"/>
        </c:dLbls>
        <c:marker val="1"/>
        <c:smooth val="0"/>
        <c:axId val="1909889392"/>
        <c:axId val="1909890352"/>
      </c:lineChart>
      <c:catAx>
        <c:axId val="19098893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9890352"/>
        <c:crosses val="autoZero"/>
        <c:auto val="1"/>
        <c:lblAlgn val="ctr"/>
        <c:lblOffset val="100"/>
        <c:noMultiLvlLbl val="0"/>
      </c:catAx>
      <c:valAx>
        <c:axId val="1909890352"/>
        <c:scaling>
          <c:orientation val="minMax"/>
        </c:scaling>
        <c:delete val="0"/>
        <c:axPos val="l"/>
        <c:majorGridlines>
          <c:spPr>
            <a:ln w="9525" cap="flat" cmpd="sng" algn="ctr">
              <a:solidFill>
                <a:schemeClr val="tx2">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988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Sheet3!$A$4:$A$6</c:f>
              <c:strCache>
                <c:ptCount val="2"/>
                <c:pt idx="0">
                  <c:v>Member</c:v>
                </c:pt>
                <c:pt idx="1">
                  <c:v>Normal</c:v>
                </c:pt>
              </c:strCache>
            </c:strRef>
          </c:cat>
          <c:val>
            <c:numRef>
              <c:f>Sheet3!$B$4:$B$6</c:f>
              <c:numCache>
                <c:formatCode>General</c:formatCode>
                <c:ptCount val="2"/>
                <c:pt idx="0">
                  <c:v>53704.686000000016</c:v>
                </c:pt>
                <c:pt idx="1">
                  <c:v>52492.986000000026</c:v>
                </c:pt>
              </c:numCache>
            </c:numRef>
          </c:val>
          <c:extLst>
            <c:ext xmlns:c16="http://schemas.microsoft.com/office/drawing/2014/chart" uri="{C3380CC4-5D6E-409C-BE32-E72D297353CC}">
              <c16:uniqueId val="{00000000-144C-414A-B62C-173FD95A7A45}"/>
            </c:ext>
          </c:extLst>
        </c:ser>
        <c:dLbls>
          <c:showLegendKey val="0"/>
          <c:showVal val="0"/>
          <c:showCatName val="0"/>
          <c:showSerName val="0"/>
          <c:showPercent val="0"/>
          <c:showBubbleSize val="0"/>
        </c:dLbls>
        <c:gapWidth val="150"/>
        <c:shape val="box"/>
        <c:axId val="2050404928"/>
        <c:axId val="2050412128"/>
        <c:axId val="0"/>
      </c:bar3DChart>
      <c:catAx>
        <c:axId val="20504049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0412128"/>
        <c:crosses val="autoZero"/>
        <c:auto val="1"/>
        <c:lblAlgn val="ctr"/>
        <c:lblOffset val="100"/>
        <c:noMultiLvlLbl val="0"/>
      </c:catAx>
      <c:valAx>
        <c:axId val="20504121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04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[Book1.xlsx]Sheet6!PivotTable5</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tle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5712191226911"/>
          <c:y val="8.892397389628251E-2"/>
          <c:w val="0.50597057793028988"/>
          <c:h val="0.8121693449467855"/>
        </c:manualLayout>
      </c:layout>
      <c:barChart>
        <c:barDir val="bar"/>
        <c:grouping val="clustered"/>
        <c:varyColors val="0"/>
        <c:ser>
          <c:idx val="0"/>
          <c:order val="0"/>
          <c:tx>
            <c:strRef>
              <c:f>Sheet6!$B$3</c:f>
              <c:strCache>
                <c:ptCount val="1"/>
                <c:pt idx="0">
                  <c:v>Total Sales</c:v>
                </c:pt>
              </c:strCache>
            </c:strRef>
          </c:tx>
          <c:spPr>
            <a:solidFill>
              <a:schemeClr val="accent1">
                <a:alpha val="88000"/>
              </a:schemeClr>
            </a:solidFill>
            <a:ln>
              <a:solidFill>
                <a:schemeClr val="accent1">
                  <a:lumMod val="50000"/>
                </a:schemeClr>
              </a:solidFill>
            </a:ln>
            <a:effectLst/>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Sheet6!$A$4:$A$7</c:f>
              <c:strCache>
                <c:ptCount val="3"/>
                <c:pt idx="0">
                  <c:v>Mandalay</c:v>
                </c:pt>
                <c:pt idx="1">
                  <c:v>Naypyitaw</c:v>
                </c:pt>
                <c:pt idx="2">
                  <c:v>Yangon</c:v>
                </c:pt>
              </c:strCache>
            </c:strRef>
          </c:cat>
          <c:val>
            <c:numRef>
              <c:f>Sheet6!$B$4:$B$7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22F2-4428-A701-2A1344273EAF}"/>
            </c:ext>
          </c:extLst>
        </c:ser>
        <c:ser>
          <c:idx val="1"/>
          <c:order val="1"/>
          <c:tx>
            <c:strRef>
              <c:f>Sheet6!$C$3</c:f>
              <c:strCache>
                <c:ptCount val="1"/>
                <c:pt idx="0">
                  <c:v>Gross Income Analysis</c:v>
                </c:pt>
              </c:strCache>
            </c:strRef>
          </c:tx>
          <c:spPr>
            <a:solidFill>
              <a:schemeClr val="accent2">
                <a:alpha val="88000"/>
              </a:schemeClr>
            </a:solidFill>
            <a:ln>
              <a:solidFill>
                <a:schemeClr val="accent2">
                  <a:lumMod val="50000"/>
                </a:schemeClr>
              </a:solidFill>
            </a:ln>
            <a:effectLst/>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Sheet6!$A$4:$A$7</c:f>
              <c:strCache>
                <c:ptCount val="3"/>
                <c:pt idx="0">
                  <c:v>Mandalay</c:v>
                </c:pt>
                <c:pt idx="1">
                  <c:v>Naypyitaw</c:v>
                </c:pt>
                <c:pt idx="2">
                  <c:v>Yangon</c:v>
                </c:pt>
              </c:strCache>
            </c:strRef>
          </c:cat>
          <c:val>
            <c:numRef>
              <c:f>Sheet6!$C$4:$C$7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22F2-4428-A701-2A1344273EAF}"/>
            </c:ext>
          </c:extLst>
        </c:ser>
        <c:dLbls>
          <c:showLegendKey val="0"/>
          <c:showVal val="1"/>
          <c:showCatName val="0"/>
          <c:showSerName val="0"/>
          <c:showPercent val="0"/>
          <c:showBubbleSize val="0"/>
        </c:dLbls>
        <c:gapWidth val="84"/>
        <c:axId val="1119134799"/>
        <c:axId val="1317230735"/>
      </c:barChart>
      <c:catAx>
        <c:axId val="1119134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7230735"/>
        <c:crosses val="autoZero"/>
        <c:auto val="1"/>
        <c:lblAlgn val="ctr"/>
        <c:lblOffset val="100"/>
        <c:noMultiLvlLbl val="0"/>
      </c:catAx>
      <c:valAx>
        <c:axId val="1317230735"/>
        <c:scaling>
          <c:orientation val="minMax"/>
        </c:scaling>
        <c:delete val="1"/>
        <c:axPos val="b"/>
        <c:numFmt formatCode="General" sourceLinked="1"/>
        <c:majorTickMark val="out"/>
        <c:minorTickMark val="none"/>
        <c:tickLblPos val="nextTo"/>
        <c:crossAx val="111913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[Book1.xlsx]Sheet7!PivotTable6</c:name>
    <c:fmtId val="12"/>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baseline="0">
                <a:solidFill>
                  <a:schemeClr val="tx2"/>
                </a:solidFill>
              </a:rPr>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B0D7-468D-B070-1D7920955ADA}"/>
              </c:ext>
            </c:extLst>
          </c:dPt>
          <c:dPt>
            <c:idx val="1"/>
            <c:invertIfNegative val="0"/>
            <c:bubble3D val="0"/>
            <c:extLst>
              <c:ext xmlns:c16="http://schemas.microsoft.com/office/drawing/2014/chart" uri="{C3380CC4-5D6E-409C-BE32-E72D297353CC}">
                <c16:uniqueId val="{00000003-B0D7-468D-B070-1D7920955ADA}"/>
              </c:ext>
            </c:extLst>
          </c:dPt>
          <c:dPt>
            <c:idx val="2"/>
            <c:invertIfNegative val="0"/>
            <c:bubble3D val="0"/>
            <c:extLst>
              <c:ext xmlns:c16="http://schemas.microsoft.com/office/drawing/2014/chart" uri="{C3380CC4-5D6E-409C-BE32-E72D297353CC}">
                <c16:uniqueId val="{00000005-B0D7-468D-B070-1D7920955A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Mandalay</c:v>
                </c:pt>
                <c:pt idx="1">
                  <c:v>Naypyitaw</c:v>
                </c:pt>
                <c:pt idx="2">
                  <c:v>Yangon</c:v>
                </c:pt>
              </c:strCache>
            </c:strRef>
          </c:cat>
          <c:val>
            <c:numRef>
              <c:f>Sheet7!$B$4:$B$7</c:f>
              <c:numCache>
                <c:formatCode>_ [$₹-4009]\ * #,##0_ ;_ [$₹-4009]\ * \-#,##0_ ;_ [$₹-4009]\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B0D7-468D-B070-1D7920955ADA}"/>
            </c:ext>
          </c:extLst>
        </c:ser>
        <c:dLbls>
          <c:showLegendKey val="0"/>
          <c:showVal val="0"/>
          <c:showCatName val="0"/>
          <c:showSerName val="0"/>
          <c:showPercent val="0"/>
          <c:showBubbleSize val="0"/>
        </c:dLbls>
        <c:gapWidth val="182"/>
        <c:axId val="644239567"/>
        <c:axId val="644246287"/>
      </c:barChart>
      <c:valAx>
        <c:axId val="644246287"/>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39567"/>
        <c:crosses val="autoZero"/>
        <c:crossBetween val="between"/>
      </c:valAx>
      <c:catAx>
        <c:axId val="64423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42462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[Book1.xlsx]Sheet10!PivotTable5</c:name>
    <c:fmtId val="0"/>
  </c:pivotSource>
  <c:chart>
    <c:title>
      <c:tx>
        <c:rich>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Sheet10!$A$4:$A$7</c:f>
              <c:strCache>
                <c:ptCount val="3"/>
                <c:pt idx="0">
                  <c:v>A</c:v>
                </c:pt>
                <c:pt idx="1">
                  <c:v>B</c:v>
                </c:pt>
                <c:pt idx="2">
                  <c:v>C</c:v>
                </c:pt>
              </c:strCache>
            </c:strRef>
          </c:cat>
          <c:val>
            <c:numRef>
              <c:f>Sheet10!$B$4:$B$7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0750-404F-B1F1-D2B4CDDDE194}"/>
            </c:ext>
          </c:extLst>
        </c:ser>
        <c:ser>
          <c:idx val="1"/>
          <c:order val="1"/>
          <c:tx>
            <c:strRef>
              <c:f>Sheet10!$C$3</c:f>
              <c:strCache>
                <c:ptCount val="1"/>
                <c:pt idx="0">
                  <c:v>Tax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Sheet10!$A$4:$A$7</c:f>
              <c:strCache>
                <c:ptCount val="3"/>
                <c:pt idx="0">
                  <c:v>A</c:v>
                </c:pt>
                <c:pt idx="1">
                  <c:v>B</c:v>
                </c:pt>
                <c:pt idx="2">
                  <c:v>C</c:v>
                </c:pt>
              </c:strCache>
            </c:strRef>
          </c:cat>
          <c:val>
            <c:numRef>
              <c:f>Sheet10!$C$4:$C$7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0750-404F-B1F1-D2B4CDDDE194}"/>
            </c:ext>
          </c:extLst>
        </c:ser>
        <c:ser>
          <c:idx val="2"/>
          <c:order val="2"/>
          <c:tx>
            <c:strRef>
              <c:f>Sheet10!$D$3</c:f>
              <c:strCache>
                <c:ptCount val="1"/>
                <c:pt idx="0">
                  <c:v>Unit Price Analysis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Sheet10!$A$4:$A$7</c:f>
              <c:strCache>
                <c:ptCount val="3"/>
                <c:pt idx="0">
                  <c:v>A</c:v>
                </c:pt>
                <c:pt idx="1">
                  <c:v>B</c:v>
                </c:pt>
                <c:pt idx="2">
                  <c:v>C</c:v>
                </c:pt>
              </c:strCache>
            </c:strRef>
          </c:cat>
          <c:val>
            <c:numRef>
              <c:f>Sheet10!$D$4:$D$7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0750-404F-B1F1-D2B4CDDDE194}"/>
            </c:ext>
          </c:extLst>
        </c:ser>
        <c:dLbls>
          <c:dLblPos val="outEnd"/>
          <c:showLegendKey val="0"/>
          <c:showVal val="1"/>
          <c:showCatName val="0"/>
          <c:showSerName val="0"/>
          <c:showPercent val="0"/>
          <c:showBubbleSize val="0"/>
        </c:dLbls>
        <c:gapWidth val="100"/>
        <c:overlap val="-24"/>
        <c:axId val="1043915712"/>
        <c:axId val="1717475792"/>
      </c:barChart>
      <c:catAx>
        <c:axId val="10439157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2"/>
                    </a:solidFill>
                    <a:latin typeface="+mn-lt"/>
                    <a:ea typeface="+mn-ea"/>
                    <a:cs typeface="+mn-cs"/>
                  </a:defRPr>
                </a:pPr>
                <a:r>
                  <a:rPr lang="en-IN"/>
                  <a:t>BRANCH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475792"/>
        <c:crosses val="autoZero"/>
        <c:auto val="1"/>
        <c:lblAlgn val="ctr"/>
        <c:lblOffset val="100"/>
        <c:noMultiLvlLbl val="0"/>
      </c:catAx>
      <c:valAx>
        <c:axId val="17174757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2"/>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2"/>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391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487680</xdr:colOff>
      <xdr:row>12</xdr:row>
      <xdr:rowOff>0</xdr:rowOff>
    </xdr:from>
    <xdr:to>
      <xdr:col>7</xdr:col>
      <xdr:colOff>7620</xdr:colOff>
      <xdr:row>26</xdr:row>
      <xdr:rowOff>152400</xdr:rowOff>
    </xdr:to>
    <xdr:graphicFrame macro="">
      <xdr:nvGraphicFramePr>
        <xdr:cNvPr id="2" name="Chart 1">
          <a:extLst>
            <a:ext uri="{FF2B5EF4-FFF2-40B4-BE49-F238E27FC236}">
              <a16:creationId xmlns:a16="http://schemas.microsoft.com/office/drawing/2014/main" id="{EFA582BE-DDE5-4C7E-A9E2-EDCA87030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8</xdr:row>
      <xdr:rowOff>156210</xdr:rowOff>
    </xdr:from>
    <xdr:to>
      <xdr:col>5</xdr:col>
      <xdr:colOff>601980</xdr:colOff>
      <xdr:row>23</xdr:row>
      <xdr:rowOff>156210</xdr:rowOff>
    </xdr:to>
    <xdr:graphicFrame macro="">
      <xdr:nvGraphicFramePr>
        <xdr:cNvPr id="2" name="Chart 1">
          <a:extLst>
            <a:ext uri="{FF2B5EF4-FFF2-40B4-BE49-F238E27FC236}">
              <a16:creationId xmlns:a16="http://schemas.microsoft.com/office/drawing/2014/main" id="{75334507-4BFC-9001-42DB-C369C7D49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480060</xdr:colOff>
      <xdr:row>9</xdr:row>
      <xdr:rowOff>15240</xdr:rowOff>
    </xdr:from>
    <xdr:to>
      <xdr:col>6</xdr:col>
      <xdr:colOff>53346</xdr:colOff>
      <xdr:row>24</xdr:row>
      <xdr:rowOff>175260</xdr:rowOff>
    </xdr:to>
    <xdr:graphicFrame macro="">
      <xdr:nvGraphicFramePr>
        <xdr:cNvPr id="2" name="Chart 1">
          <a:extLst>
            <a:ext uri="{FF2B5EF4-FFF2-40B4-BE49-F238E27FC236}">
              <a16:creationId xmlns:a16="http://schemas.microsoft.com/office/drawing/2014/main" id="{43F4E1E1-F4C2-61F5-FA36-3C1E63646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830580</xdr:colOff>
      <xdr:row>12</xdr:row>
      <xdr:rowOff>0</xdr:rowOff>
    </xdr:from>
    <xdr:to>
      <xdr:col>8</xdr:col>
      <xdr:colOff>15240</xdr:colOff>
      <xdr:row>27</xdr:row>
      <xdr:rowOff>175260</xdr:rowOff>
    </xdr:to>
    <xdr:graphicFrame macro="">
      <xdr:nvGraphicFramePr>
        <xdr:cNvPr id="3" name="Chart 2">
          <a:extLst>
            <a:ext uri="{FF2B5EF4-FFF2-40B4-BE49-F238E27FC236}">
              <a16:creationId xmlns:a16="http://schemas.microsoft.com/office/drawing/2014/main" id="{5428F968-3CDD-BDE1-6BB9-CD26B4615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784860</xdr:colOff>
      <xdr:row>1</xdr:row>
      <xdr:rowOff>45721</xdr:rowOff>
    </xdr:from>
    <xdr:to>
      <xdr:col>5</xdr:col>
      <xdr:colOff>571500</xdr:colOff>
      <xdr:row>8</xdr:row>
      <xdr:rowOff>0</xdr:rowOff>
    </xdr:to>
    <mc:AlternateContent xmlns:mc="http://schemas.openxmlformats.org/markup-compatibility/2006" xmlns:a14="http://schemas.microsoft.com/office/drawing/2010/main">
      <mc:Choice Requires="a14">
        <xdr:graphicFrame macro="">
          <xdr:nvGraphicFramePr>
            <xdr:cNvPr id="2" name="Payment">
              <a:extLst>
                <a:ext uri="{FF2B5EF4-FFF2-40B4-BE49-F238E27FC236}">
                  <a16:creationId xmlns:a16="http://schemas.microsoft.com/office/drawing/2014/main" id="{DCD70E5B-F968-BD51-2306-2F074F9E5D94}"/>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446020" y="228601"/>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175260</xdr:rowOff>
    </xdr:from>
    <xdr:to>
      <xdr:col>7</xdr:col>
      <xdr:colOff>609594</xdr:colOff>
      <xdr:row>25</xdr:row>
      <xdr:rowOff>114300</xdr:rowOff>
    </xdr:to>
    <xdr:graphicFrame macro="">
      <xdr:nvGraphicFramePr>
        <xdr:cNvPr id="2" name="Chart 1">
          <a:extLst>
            <a:ext uri="{FF2B5EF4-FFF2-40B4-BE49-F238E27FC236}">
              <a16:creationId xmlns:a16="http://schemas.microsoft.com/office/drawing/2014/main" id="{ECF968FC-98DD-D336-A132-3C21B4E65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373380</xdr:colOff>
      <xdr:row>2</xdr:row>
      <xdr:rowOff>167641</xdr:rowOff>
    </xdr:from>
    <xdr:to>
      <xdr:col>4</xdr:col>
      <xdr:colOff>571500</xdr:colOff>
      <xdr:row>10</xdr:row>
      <xdr:rowOff>68581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813C2C63-2E14-124F-0AA2-8D9C86DA184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86940" y="53340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304800</xdr:colOff>
      <xdr:row>2</xdr:row>
      <xdr:rowOff>182879</xdr:rowOff>
    </xdr:from>
    <xdr:to>
      <xdr:col>8</xdr:col>
      <xdr:colOff>304800</xdr:colOff>
      <xdr:row>10</xdr:row>
      <xdr:rowOff>114300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B3C9B1F-3392-CC1F-7744-D731E09B4E98}"/>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4358640" y="548639"/>
              <a:ext cx="1828800" cy="139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701448</xdr:colOff>
      <xdr:row>8</xdr:row>
      <xdr:rowOff>149465</xdr:rowOff>
    </xdr:from>
    <xdr:to>
      <xdr:col>3</xdr:col>
      <xdr:colOff>212585</xdr:colOff>
      <xdr:row>9</xdr:row>
      <xdr:rowOff>138461</xdr:rowOff>
    </xdr:to>
    <xdr:sp macro="" textlink="">
      <xdr:nvSpPr>
        <xdr:cNvPr id="10" name="TextBox 9">
          <a:extLst>
            <a:ext uri="{FF2B5EF4-FFF2-40B4-BE49-F238E27FC236}">
              <a16:creationId xmlns:a16="http://schemas.microsoft.com/office/drawing/2014/main" id="{E07E6B2D-D351-2D2F-66C7-78DCAE3027F6}"/>
            </a:ext>
          </a:extLst>
        </xdr:cNvPr>
        <xdr:cNvSpPr txBox="1"/>
      </xdr:nvSpPr>
      <xdr:spPr>
        <a:xfrm>
          <a:off x="2081883" y="1850161"/>
          <a:ext cx="759050" cy="17673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    </a:t>
          </a:r>
          <a:r>
            <a:rPr lang="en-IN" sz="1000" b="1"/>
            <a:t>Total</a:t>
          </a:r>
        </a:p>
      </xdr:txBody>
    </xdr:sp>
    <xdr:clientData/>
  </xdr:twoCellAnchor>
  <xdr:twoCellAnchor>
    <xdr:from>
      <xdr:col>11</xdr:col>
      <xdr:colOff>23240</xdr:colOff>
      <xdr:row>8</xdr:row>
      <xdr:rowOff>92388</xdr:rowOff>
    </xdr:from>
    <xdr:to>
      <xdr:col>12</xdr:col>
      <xdr:colOff>379</xdr:colOff>
      <xdr:row>9</xdr:row>
      <xdr:rowOff>77148</xdr:rowOff>
    </xdr:to>
    <xdr:sp macro="" textlink="">
      <xdr:nvSpPr>
        <xdr:cNvPr id="14" name="TextBox 13">
          <a:extLst>
            <a:ext uri="{FF2B5EF4-FFF2-40B4-BE49-F238E27FC236}">
              <a16:creationId xmlns:a16="http://schemas.microsoft.com/office/drawing/2014/main" id="{2196E84B-54B2-4BCB-EE63-335564AB76BE}"/>
            </a:ext>
          </a:extLst>
        </xdr:cNvPr>
        <xdr:cNvSpPr txBox="1"/>
      </xdr:nvSpPr>
      <xdr:spPr>
        <a:xfrm>
          <a:off x="7510718" y="1793084"/>
          <a:ext cx="584531" cy="1724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    </a:t>
          </a:r>
        </a:p>
      </xdr:txBody>
    </xdr:sp>
    <xdr:clientData/>
  </xdr:twoCellAnchor>
  <xdr:twoCellAnchor>
    <xdr:from>
      <xdr:col>0</xdr:col>
      <xdr:colOff>220869</xdr:colOff>
      <xdr:row>7</xdr:row>
      <xdr:rowOff>12080</xdr:rowOff>
    </xdr:from>
    <xdr:to>
      <xdr:col>8</xdr:col>
      <xdr:colOff>423565</xdr:colOff>
      <xdr:row>22</xdr:row>
      <xdr:rowOff>12080</xdr:rowOff>
    </xdr:to>
    <xdr:graphicFrame macro="">
      <xdr:nvGraphicFramePr>
        <xdr:cNvPr id="19" name="Chart 18">
          <a:extLst>
            <a:ext uri="{FF2B5EF4-FFF2-40B4-BE49-F238E27FC236}">
              <a16:creationId xmlns:a16="http://schemas.microsoft.com/office/drawing/2014/main" id="{3908C96B-0C5B-460F-A8CD-44FBF6FD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58085</xdr:colOff>
      <xdr:row>19</xdr:row>
      <xdr:rowOff>100522</xdr:rowOff>
    </xdr:from>
    <xdr:to>
      <xdr:col>33</xdr:col>
      <xdr:colOff>28397</xdr:colOff>
      <xdr:row>24</xdr:row>
      <xdr:rowOff>88348</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03491332-EEE3-4CF3-B76E-C9F6A604C3A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478607" y="3866348"/>
              <a:ext cx="2399877" cy="926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58085</xdr:colOff>
      <xdr:row>24</xdr:row>
      <xdr:rowOff>176696</xdr:rowOff>
    </xdr:from>
    <xdr:to>
      <xdr:col>33</xdr:col>
      <xdr:colOff>55809</xdr:colOff>
      <xdr:row>31</xdr:row>
      <xdr:rowOff>164226</xdr:rowOff>
    </xdr:to>
    <mc:AlternateContent xmlns:mc="http://schemas.openxmlformats.org/markup-compatibility/2006" xmlns:a14="http://schemas.microsoft.com/office/drawing/2010/main">
      <mc:Choice Requires="a14">
        <xdr:graphicFrame macro="">
          <xdr:nvGraphicFramePr>
            <xdr:cNvPr id="21" name="Payment 1">
              <a:extLst>
                <a:ext uri="{FF2B5EF4-FFF2-40B4-BE49-F238E27FC236}">
                  <a16:creationId xmlns:a16="http://schemas.microsoft.com/office/drawing/2014/main" id="{9DD8C0A3-9340-4187-A80D-8D1BC1F5D702}"/>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8478607" y="4881218"/>
              <a:ext cx="2427289" cy="1301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58085</xdr:colOff>
      <xdr:row>32</xdr:row>
      <xdr:rowOff>39076</xdr:rowOff>
    </xdr:from>
    <xdr:to>
      <xdr:col>33</xdr:col>
      <xdr:colOff>55809</xdr:colOff>
      <xdr:row>38</xdr:row>
      <xdr:rowOff>176696</xdr:rowOff>
    </xdr:to>
    <mc:AlternateContent xmlns:mc="http://schemas.openxmlformats.org/markup-compatibility/2006" xmlns:a14="http://schemas.microsoft.com/office/drawing/2010/main">
      <mc:Choice Requires="a14">
        <xdr:graphicFrame macro="">
          <xdr:nvGraphicFramePr>
            <xdr:cNvPr id="26" name="City 1">
              <a:extLst>
                <a:ext uri="{FF2B5EF4-FFF2-40B4-BE49-F238E27FC236}">
                  <a16:creationId xmlns:a16="http://schemas.microsoft.com/office/drawing/2014/main" id="{422A3C8E-E793-45CD-83EC-16C9FC892E9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478607" y="6245511"/>
              <a:ext cx="2427289" cy="1264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34734</xdr:colOff>
      <xdr:row>2</xdr:row>
      <xdr:rowOff>99391</xdr:rowOff>
    </xdr:from>
    <xdr:to>
      <xdr:col>33</xdr:col>
      <xdr:colOff>0</xdr:colOff>
      <xdr:row>7</xdr:row>
      <xdr:rowOff>81736</xdr:rowOff>
    </xdr:to>
    <mc:AlternateContent xmlns:mc="http://schemas.openxmlformats.org/markup-compatibility/2006" xmlns:a14="http://schemas.microsoft.com/office/drawing/2010/main">
      <mc:Choice Requires="a14">
        <xdr:graphicFrame macro="">
          <xdr:nvGraphicFramePr>
            <xdr:cNvPr id="27" name="Customer type 1">
              <a:extLst>
                <a:ext uri="{FF2B5EF4-FFF2-40B4-BE49-F238E27FC236}">
                  <a16:creationId xmlns:a16="http://schemas.microsoft.com/office/drawing/2014/main" id="{A5D0271F-8020-42FC-948B-1F7D1E587847}"/>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8455256" y="673652"/>
              <a:ext cx="2394831" cy="921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7</xdr:row>
      <xdr:rowOff>34897</xdr:rowOff>
    </xdr:from>
    <xdr:to>
      <xdr:col>18</xdr:col>
      <xdr:colOff>401479</xdr:colOff>
      <xdr:row>22</xdr:row>
      <xdr:rowOff>34011</xdr:rowOff>
    </xdr:to>
    <xdr:graphicFrame macro="">
      <xdr:nvGraphicFramePr>
        <xdr:cNvPr id="28" name="Chart 27">
          <a:extLst>
            <a:ext uri="{FF2B5EF4-FFF2-40B4-BE49-F238E27FC236}">
              <a16:creationId xmlns:a16="http://schemas.microsoft.com/office/drawing/2014/main" id="{852378C2-D8E8-4DAF-9E09-E37946011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234494</xdr:colOff>
      <xdr:row>22</xdr:row>
      <xdr:rowOff>89781</xdr:rowOff>
    </xdr:from>
    <xdr:to>
      <xdr:col>8</xdr:col>
      <xdr:colOff>437190</xdr:colOff>
      <xdr:row>37</xdr:row>
      <xdr:rowOff>88894</xdr:rowOff>
    </xdr:to>
    <xdr:graphicFrame macro="">
      <xdr:nvGraphicFramePr>
        <xdr:cNvPr id="31" name="Chart 30">
          <a:extLst>
            <a:ext uri="{FF2B5EF4-FFF2-40B4-BE49-F238E27FC236}">
              <a16:creationId xmlns:a16="http://schemas.microsoft.com/office/drawing/2014/main" id="{A56E4C31-3139-4C25-8CA3-2664476C8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22</xdr:row>
      <xdr:rowOff>122911</xdr:rowOff>
    </xdr:from>
    <xdr:to>
      <xdr:col>28</xdr:col>
      <xdr:colOff>401479</xdr:colOff>
      <xdr:row>37</xdr:row>
      <xdr:rowOff>122024</xdr:rowOff>
    </xdr:to>
    <xdr:graphicFrame macro="">
      <xdr:nvGraphicFramePr>
        <xdr:cNvPr id="32" name="Chart 31">
          <a:extLst>
            <a:ext uri="{FF2B5EF4-FFF2-40B4-BE49-F238E27FC236}">
              <a16:creationId xmlns:a16="http://schemas.microsoft.com/office/drawing/2014/main" id="{E48158A0-97A3-4790-9AB9-A9CEC2851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39584</xdr:colOff>
      <xdr:row>7</xdr:row>
      <xdr:rowOff>157247</xdr:rowOff>
    </xdr:from>
    <xdr:to>
      <xdr:col>33</xdr:col>
      <xdr:colOff>0</xdr:colOff>
      <xdr:row>19</xdr:row>
      <xdr:rowOff>27987</xdr:rowOff>
    </xdr:to>
    <mc:AlternateContent xmlns:mc="http://schemas.openxmlformats.org/markup-compatibility/2006" xmlns:a14="http://schemas.microsoft.com/office/drawing/2010/main">
      <mc:Choice Requires="a14">
        <xdr:graphicFrame macro="">
          <xdr:nvGraphicFramePr>
            <xdr:cNvPr id="33" name="Product line 3">
              <a:extLst>
                <a:ext uri="{FF2B5EF4-FFF2-40B4-BE49-F238E27FC236}">
                  <a16:creationId xmlns:a16="http://schemas.microsoft.com/office/drawing/2014/main" id="{701E8A73-7445-43A7-9EB4-D76BED925C1E}"/>
                </a:ext>
              </a:extLst>
            </xdr:cNvPr>
            <xdr:cNvGraphicFramePr/>
          </xdr:nvGraphicFramePr>
          <xdr:xfrm>
            <a:off x="0" y="0"/>
            <a:ext cx="0" cy="0"/>
          </xdr:xfrm>
          <a:graphic>
            <a:graphicData uri="http://schemas.microsoft.com/office/drawing/2010/slicer">
              <sle:slicer xmlns:sle="http://schemas.microsoft.com/office/drawing/2010/slicer" name="Product line 3"/>
            </a:graphicData>
          </a:graphic>
        </xdr:graphicFrame>
      </mc:Choice>
      <mc:Fallback xmlns="">
        <xdr:sp macro="" textlink="">
          <xdr:nvSpPr>
            <xdr:cNvPr id="0" name=""/>
            <xdr:cNvSpPr>
              <a:spLocks noTextEdit="1"/>
            </xdr:cNvSpPr>
          </xdr:nvSpPr>
          <xdr:spPr>
            <a:xfrm>
              <a:off x="18460106" y="1670204"/>
              <a:ext cx="2389981" cy="2123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7</xdr:row>
      <xdr:rowOff>34897</xdr:rowOff>
    </xdr:from>
    <xdr:to>
      <xdr:col>28</xdr:col>
      <xdr:colOff>401479</xdr:colOff>
      <xdr:row>22</xdr:row>
      <xdr:rowOff>34011</xdr:rowOff>
    </xdr:to>
    <xdr:graphicFrame macro="">
      <xdr:nvGraphicFramePr>
        <xdr:cNvPr id="34" name="Chart 33">
          <a:extLst>
            <a:ext uri="{FF2B5EF4-FFF2-40B4-BE49-F238E27FC236}">
              <a16:creationId xmlns:a16="http://schemas.microsoft.com/office/drawing/2014/main" id="{A98184E1-9F17-4DB6-B21A-A559853B2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22</xdr:row>
      <xdr:rowOff>114175</xdr:rowOff>
    </xdr:from>
    <xdr:to>
      <xdr:col>18</xdr:col>
      <xdr:colOff>401479</xdr:colOff>
      <xdr:row>37</xdr:row>
      <xdr:rowOff>113288</xdr:rowOff>
    </xdr:to>
    <xdr:graphicFrame macro="">
      <xdr:nvGraphicFramePr>
        <xdr:cNvPr id="2" name="Chart 1">
          <a:extLst>
            <a:ext uri="{FF2B5EF4-FFF2-40B4-BE49-F238E27FC236}">
              <a16:creationId xmlns:a16="http://schemas.microsoft.com/office/drawing/2014/main" id="{989F3287-5FDD-42FB-9E98-6D052B6A1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121479</xdr:colOff>
      <xdr:row>2</xdr:row>
      <xdr:rowOff>88346</xdr:rowOff>
    </xdr:from>
    <xdr:to>
      <xdr:col>27</xdr:col>
      <xdr:colOff>331305</xdr:colOff>
      <xdr:row>6</xdr:row>
      <xdr:rowOff>132522</xdr:rowOff>
    </xdr:to>
    <xdr:sp macro="" textlink="Sheet2!D4:E4">
      <xdr:nvSpPr>
        <xdr:cNvPr id="13" name="Rectangle: Rounded Corners 12">
          <a:extLst>
            <a:ext uri="{FF2B5EF4-FFF2-40B4-BE49-F238E27FC236}">
              <a16:creationId xmlns:a16="http://schemas.microsoft.com/office/drawing/2014/main" id="{DCF1411D-3450-42F9-9790-358FA0403190}"/>
            </a:ext>
          </a:extLst>
        </xdr:cNvPr>
        <xdr:cNvSpPr/>
      </xdr:nvSpPr>
      <xdr:spPr>
        <a:xfrm>
          <a:off x="13682870" y="662607"/>
          <a:ext cx="3854174" cy="795132"/>
        </a:xfrm>
        <a:prstGeom prst="roundRect">
          <a:avLst/>
        </a:prstGeom>
        <a:solidFill>
          <a:srgbClr val="5B71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u="none" strike="noStrike">
              <a:solidFill>
                <a:schemeClr val="bg1"/>
              </a:solidFill>
              <a:latin typeface="Cambria" panose="02040503050406030204" pitchFamily="18" charset="0"/>
              <a:ea typeface="Cambria" panose="02040503050406030204" pitchFamily="18" charset="0"/>
              <a:cs typeface="Calibri"/>
            </a:rPr>
            <a:t>UNIT PRICE</a:t>
          </a:r>
        </a:p>
        <a:p>
          <a:pPr algn="ctr"/>
          <a:fld id="{4EF02B1B-F261-4D65-95A1-EB99714C2E78}" type="TxLink">
            <a:rPr lang="en-US" sz="2000" b="1" i="0" u="none" strike="noStrike">
              <a:solidFill>
                <a:schemeClr val="bg1"/>
              </a:solidFill>
              <a:latin typeface="Cambria" panose="02040503050406030204" pitchFamily="18" charset="0"/>
              <a:ea typeface="Cambria" panose="02040503050406030204" pitchFamily="18" charset="0"/>
              <a:cs typeface="Calibri"/>
            </a:rPr>
            <a:pPr algn="ctr"/>
            <a:t> ₹ 55,672 </a:t>
          </a:fld>
          <a:endParaRPr lang="en-IN" sz="2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14</xdr:col>
      <xdr:colOff>33131</xdr:colOff>
      <xdr:row>2</xdr:row>
      <xdr:rowOff>99390</xdr:rowOff>
    </xdr:from>
    <xdr:to>
      <xdr:col>20</xdr:col>
      <xdr:colOff>242957</xdr:colOff>
      <xdr:row>6</xdr:row>
      <xdr:rowOff>144034</xdr:rowOff>
    </xdr:to>
    <xdr:sp macro="" textlink="Sheet2!C4:D4">
      <xdr:nvSpPr>
        <xdr:cNvPr id="17" name="Rectangle: Rounded Corners 16">
          <a:extLst>
            <a:ext uri="{FF2B5EF4-FFF2-40B4-BE49-F238E27FC236}">
              <a16:creationId xmlns:a16="http://schemas.microsoft.com/office/drawing/2014/main" id="{CFCB316C-66BC-4BA6-A797-69EAE6605E66}"/>
            </a:ext>
          </a:extLst>
        </xdr:cNvPr>
        <xdr:cNvSpPr/>
      </xdr:nvSpPr>
      <xdr:spPr>
        <a:xfrm>
          <a:off x="9342783" y="673651"/>
          <a:ext cx="3854174" cy="795600"/>
        </a:xfrm>
        <a:prstGeom prst="roundRect">
          <a:avLst/>
        </a:prstGeom>
        <a:solidFill>
          <a:srgbClr val="5B71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u="none" strike="noStrike">
              <a:solidFill>
                <a:schemeClr val="bg1"/>
              </a:solidFill>
              <a:latin typeface="Cambria" panose="02040503050406030204" pitchFamily="18" charset="0"/>
              <a:ea typeface="Cambria" panose="02040503050406030204" pitchFamily="18" charset="0"/>
              <a:cs typeface="Calibri"/>
            </a:rPr>
            <a:t>QUANTITY</a:t>
          </a:r>
        </a:p>
        <a:p>
          <a:pPr algn="ctr"/>
          <a:fld id="{9404D9FC-0DE8-4E4C-8B76-F44DCE0FD4AA}" type="TxLink">
            <a:rPr lang="en-US" sz="2000" b="1" i="0" u="none" strike="noStrike">
              <a:solidFill>
                <a:schemeClr val="bg1"/>
              </a:solidFill>
              <a:latin typeface="Cambria" panose="02040503050406030204" pitchFamily="18" charset="0"/>
              <a:ea typeface="Cambria" panose="02040503050406030204" pitchFamily="18" charset="0"/>
              <a:cs typeface="Calibri"/>
            </a:rPr>
            <a:pPr algn="ctr"/>
            <a:t> ₹ 5,510 </a:t>
          </a:fld>
          <a:endParaRPr lang="en-US" sz="2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6</xdr:col>
      <xdr:colOff>519043</xdr:colOff>
      <xdr:row>2</xdr:row>
      <xdr:rowOff>99391</xdr:rowOff>
    </xdr:from>
    <xdr:to>
      <xdr:col>13</xdr:col>
      <xdr:colOff>121478</xdr:colOff>
      <xdr:row>6</xdr:row>
      <xdr:rowOff>144035</xdr:rowOff>
    </xdr:to>
    <xdr:sp macro="" textlink="Sheet2!B4:C4">
      <xdr:nvSpPr>
        <xdr:cNvPr id="18" name="Rectangle: Rounded Corners 17">
          <a:extLst>
            <a:ext uri="{FF2B5EF4-FFF2-40B4-BE49-F238E27FC236}">
              <a16:creationId xmlns:a16="http://schemas.microsoft.com/office/drawing/2014/main" id="{4F79DD4F-E1FC-466A-BB8A-37AD4EABB8EB}"/>
            </a:ext>
          </a:extLst>
        </xdr:cNvPr>
        <xdr:cNvSpPr/>
      </xdr:nvSpPr>
      <xdr:spPr>
        <a:xfrm>
          <a:off x="4969565" y="673652"/>
          <a:ext cx="3854174" cy="795600"/>
        </a:xfrm>
        <a:prstGeom prst="roundRect">
          <a:avLst/>
        </a:prstGeom>
        <a:solidFill>
          <a:srgbClr val="5B71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u="none" strike="noStrike">
              <a:solidFill>
                <a:schemeClr val="bg1"/>
              </a:solidFill>
              <a:latin typeface="Cambria" panose="02040503050406030204" pitchFamily="18" charset="0"/>
              <a:ea typeface="Cambria" panose="02040503050406030204" pitchFamily="18" charset="0"/>
              <a:cs typeface="Calibri"/>
            </a:rPr>
            <a:t>TAX</a:t>
          </a:r>
        </a:p>
        <a:p>
          <a:pPr algn="ctr"/>
          <a:fld id="{DC0F6AFF-0D64-4660-9617-FDC1AEF2E10A}" type="TxLink">
            <a:rPr lang="en-US" sz="2000" b="1" i="0" u="none" strike="noStrike">
              <a:solidFill>
                <a:schemeClr val="bg1"/>
              </a:solidFill>
              <a:latin typeface="Cambria" panose="02040503050406030204" pitchFamily="18" charset="0"/>
              <a:ea typeface="Cambria" panose="02040503050406030204" pitchFamily="18" charset="0"/>
              <a:cs typeface="Calibri"/>
            </a:rPr>
            <a:pPr algn="ctr"/>
            <a:t> ₹ 15,379 </a:t>
          </a:fld>
          <a:endParaRPr lang="en-IN" sz="2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xdr:col>
      <xdr:colOff>11045</xdr:colOff>
      <xdr:row>2</xdr:row>
      <xdr:rowOff>99390</xdr:rowOff>
    </xdr:from>
    <xdr:to>
      <xdr:col>6</xdr:col>
      <xdr:colOff>22088</xdr:colOff>
      <xdr:row>6</xdr:row>
      <xdr:rowOff>144034</xdr:rowOff>
    </xdr:to>
    <xdr:sp macro="" textlink="Sheet2!A4:B4">
      <xdr:nvSpPr>
        <xdr:cNvPr id="22" name="Rectangle: Rounded Corners 21">
          <a:extLst>
            <a:ext uri="{FF2B5EF4-FFF2-40B4-BE49-F238E27FC236}">
              <a16:creationId xmlns:a16="http://schemas.microsoft.com/office/drawing/2014/main" id="{E22350A9-30D0-486C-8958-03AA4EE27A54}"/>
            </a:ext>
          </a:extLst>
        </xdr:cNvPr>
        <xdr:cNvSpPr/>
      </xdr:nvSpPr>
      <xdr:spPr>
        <a:xfrm>
          <a:off x="618436" y="673651"/>
          <a:ext cx="3854174" cy="795600"/>
        </a:xfrm>
        <a:prstGeom prst="roundRect">
          <a:avLst/>
        </a:prstGeom>
        <a:solidFill>
          <a:srgbClr val="5B71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i="0" u="none" strike="noStrike">
              <a:solidFill>
                <a:schemeClr val="bg1"/>
              </a:solidFill>
              <a:latin typeface="Cambria" panose="02040503050406030204" pitchFamily="18" charset="0"/>
              <a:ea typeface="Cambria" panose="02040503050406030204" pitchFamily="18" charset="0"/>
              <a:cs typeface="Calibri"/>
            </a:rPr>
            <a:t>TOTAL</a:t>
          </a:r>
        </a:p>
        <a:p>
          <a:pPr algn="ctr"/>
          <a:fld id="{681421A3-DA78-4335-B357-67AEDBB5FF75}" type="TxLink">
            <a:rPr lang="en-US" sz="2000" b="1" i="0" u="none" strike="noStrike">
              <a:solidFill>
                <a:schemeClr val="bg1"/>
              </a:solidFill>
              <a:latin typeface="Cambria" panose="02040503050406030204" pitchFamily="18" charset="0"/>
              <a:ea typeface="Cambria" panose="02040503050406030204" pitchFamily="18" charset="0"/>
              <a:cs typeface="Calibri"/>
            </a:rPr>
            <a:pPr algn="ctr"/>
            <a:t> ₹ 3,22,967 </a:t>
          </a:fld>
          <a:endParaRPr lang="en-IN" sz="2000" b="1">
            <a:solidFill>
              <a:schemeClr val="bg1"/>
            </a:solidFill>
            <a:latin typeface="Cambria" panose="02040503050406030204" pitchFamily="18" charset="0"/>
            <a:ea typeface="Cambria" panose="02040503050406030204" pitchFamily="18" charset="0"/>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0.35704</cdr:x>
      <cdr:y>0.05473</cdr:y>
    </cdr:from>
    <cdr:to>
      <cdr:x>0.7776</cdr:x>
      <cdr:y>0.19069</cdr:y>
    </cdr:to>
    <cdr:pic>
      <cdr:nvPicPr>
        <cdr:cNvPr id="2" name="chart">
          <a:extLst xmlns:a="http://schemas.openxmlformats.org/drawingml/2006/main">
            <a:ext uri="{FF2B5EF4-FFF2-40B4-BE49-F238E27FC236}">
              <a16:creationId xmlns:a16="http://schemas.microsoft.com/office/drawing/2014/main" id="{4500B27B-321B-6C13-9253-ADFBFA9F3F5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899478" y="154608"/>
          <a:ext cx="2237426" cy="384081"/>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7620</xdr:colOff>
      <xdr:row>9</xdr:row>
      <xdr:rowOff>68580</xdr:rowOff>
    </xdr:from>
    <xdr:to>
      <xdr:col>7</xdr:col>
      <xdr:colOff>388620</xdr:colOff>
      <xdr:row>24</xdr:row>
      <xdr:rowOff>76200</xdr:rowOff>
    </xdr:to>
    <xdr:graphicFrame macro="">
      <xdr:nvGraphicFramePr>
        <xdr:cNvPr id="2" name="Chart 1">
          <a:extLst>
            <a:ext uri="{FF2B5EF4-FFF2-40B4-BE49-F238E27FC236}">
              <a16:creationId xmlns:a16="http://schemas.microsoft.com/office/drawing/2014/main" id="{BAAA57CB-2233-2AAF-0F9D-48E2614DF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45720</xdr:colOff>
      <xdr:row>0</xdr:row>
      <xdr:rowOff>129541</xdr:rowOff>
    </xdr:from>
    <xdr:to>
      <xdr:col>11</xdr:col>
      <xdr:colOff>45720</xdr:colOff>
      <xdr:row>11</xdr:row>
      <xdr:rowOff>129541</xdr:rowOff>
    </xdr:to>
    <mc:AlternateContent xmlns:mc="http://schemas.openxmlformats.org/markup-compatibility/2006" xmlns:a14="http://schemas.microsoft.com/office/drawing/2010/main">
      <mc:Choice Requires="a14">
        <xdr:graphicFrame macro="">
          <xdr:nvGraphicFramePr>
            <xdr:cNvPr id="3" name="Product line 2">
              <a:extLst>
                <a:ext uri="{FF2B5EF4-FFF2-40B4-BE49-F238E27FC236}">
                  <a16:creationId xmlns:a16="http://schemas.microsoft.com/office/drawing/2014/main" id="{B6AB40CA-B808-CF38-03A5-2C1E23781FE0}"/>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6134100" y="12954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shika S" refreshedDate="46097.996329513888" createdVersion="8" refreshedVersion="8" minRefreshableVersion="3" recordCount="1000" xr:uid="{C6C6B9F6-FA39-458A-8DE7-73F15E77ADC2}">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450841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shika S" refreshedDate="46098.442293287037" createdVersion="8" refreshedVersion="8" minRefreshableVersion="3" recordCount="332" xr:uid="{0A677BE6-48B5-4636-A2FF-4EE75C0EE4F0}">
  <cacheSource type="worksheet">
    <worksheetSource name="Table2"/>
  </cacheSource>
  <cacheFields count="17">
    <cacheField name="Invoice ID" numFmtId="0">
      <sharedItems/>
    </cacheField>
    <cacheField name="Branch" numFmtId="0">
      <sharedItems/>
    </cacheField>
    <cacheField name="City" numFmtId="0">
      <sharedItems/>
    </cacheField>
    <cacheField name="Customer type" numFmtId="0">
      <sharedItems count="2">
        <s v="Normal"/>
        <s v="Member"/>
      </sharedItems>
    </cacheField>
    <cacheField name="Gender" numFmtId="0">
      <sharedItems/>
    </cacheField>
    <cacheField name="Product line" numFmtId="0">
      <sharedItems/>
    </cacheField>
    <cacheField name="Unit price" numFmtId="0">
      <sharedItems containsSemiMixedTypes="0" containsString="0" containsNumber="1" minValue="10.59"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88749999999999996" maxValue="48.69"/>
    </cacheField>
    <cacheField name="Total" numFmtId="0">
      <sharedItems containsSemiMixedTypes="0" containsString="0" containsNumber="1" minValue="18.637499999999999" maxValue="1022.49"/>
    </cacheField>
    <cacheField name="Date" numFmtId="0">
      <sharedItems/>
    </cacheField>
    <cacheField name="Time" numFmtId="21">
      <sharedItems containsSemiMixedTypes="0" containsNonDate="0" containsDate="1" containsString="0" minDate="1899-12-30T10:01:00" maxDate="1899-12-30T20:57:00"/>
    </cacheField>
    <cacheField name="Payment" numFmtId="0">
      <sharedItems/>
    </cacheField>
    <cacheField name="cogs" numFmtId="0">
      <sharedItems containsSemiMixedTypes="0" containsString="0" containsNumber="1" minValue="17.75" maxValue="973.8"/>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88749999999999996" maxValue="48.69"/>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s v="1/5/2019"/>
    <d v="1899-12-30T13:08:00"/>
    <x v="0"/>
    <n v="522.83000000000004"/>
    <n v="4.7619047620000003"/>
    <n v="26.141500000000001"/>
    <n v="9.1"/>
  </r>
  <r>
    <s v="226-31-3081"/>
    <x v="1"/>
    <x v="1"/>
    <x v="1"/>
    <x v="0"/>
    <x v="1"/>
    <n v="15.28"/>
    <n v="5"/>
    <n v="3.82"/>
    <n v="80.22"/>
    <s v="3/8/2019"/>
    <d v="1899-12-30T10:29:00"/>
    <x v="1"/>
    <n v="76.400000000000006"/>
    <n v="4.7619047620000003"/>
    <n v="3.82"/>
    <n v="9.6"/>
  </r>
  <r>
    <s v="631-41-3108"/>
    <x v="0"/>
    <x v="0"/>
    <x v="1"/>
    <x v="1"/>
    <x v="2"/>
    <n v="46.33"/>
    <n v="7"/>
    <n v="16.215499999999999"/>
    <n v="340.52550000000002"/>
    <s v="3/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2/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2/6/2019"/>
    <d v="1899-12-30T18:07:00"/>
    <x v="0"/>
    <n v="57.92"/>
    <n v="4.7619047620000003"/>
    <n v="2.8959999999999999"/>
    <n v="4.5"/>
  </r>
  <r>
    <s v="529-56-3974"/>
    <x v="2"/>
    <x v="2"/>
    <x v="0"/>
    <x v="1"/>
    <x v="1"/>
    <n v="25.51"/>
    <n v="4"/>
    <n v="5.1020000000000003"/>
    <n v="107.142"/>
    <s v="3/9/2019"/>
    <d v="1899-12-30T17:03:00"/>
    <x v="1"/>
    <n v="102.04"/>
    <n v="4.7619047620000003"/>
    <n v="5.1020000000000003"/>
    <n v="6.8"/>
  </r>
  <r>
    <s v="365-64-0515"/>
    <x v="0"/>
    <x v="0"/>
    <x v="1"/>
    <x v="0"/>
    <x v="1"/>
    <n v="46.95"/>
    <n v="5"/>
    <n v="11.737500000000001"/>
    <n v="246.48750000000001"/>
    <s v="2/12/2019"/>
    <d v="1899-12-30T10:25:00"/>
    <x v="0"/>
    <n v="234.75"/>
    <n v="4.7619047620000003"/>
    <n v="11.737500000000001"/>
    <n v="7.1"/>
  </r>
  <r>
    <s v="252-56-2699"/>
    <x v="0"/>
    <x v="0"/>
    <x v="1"/>
    <x v="1"/>
    <x v="4"/>
    <n v="43.19"/>
    <n v="10"/>
    <n v="21.594999999999999"/>
    <n v="453.495"/>
    <s v="2/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3/11/2019"/>
    <d v="1899-12-30T11:03:00"/>
    <x v="2"/>
    <n v="482.51"/>
    <n v="4.7619047620000003"/>
    <n v="24.125499999999999"/>
    <n v="4.5999999999999996"/>
  </r>
  <r>
    <s v="765-26-6951"/>
    <x v="0"/>
    <x v="0"/>
    <x v="1"/>
    <x v="1"/>
    <x v="3"/>
    <n v="72.61"/>
    <n v="6"/>
    <n v="21.783000000000001"/>
    <n v="457.44299999999998"/>
    <s v="1/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3/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3/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2/8/2019"/>
    <d v="1899-12-30T15:31:00"/>
    <x v="1"/>
    <n v="33.520000000000003"/>
    <n v="4.7619047620000003"/>
    <n v="1.6759999999999999"/>
    <n v="6.7"/>
  </r>
  <r>
    <s v="189-17-4241"/>
    <x v="0"/>
    <x v="0"/>
    <x v="1"/>
    <x v="0"/>
    <x v="5"/>
    <n v="87.67"/>
    <n v="2"/>
    <n v="8.7669999999999995"/>
    <n v="184.107"/>
    <s v="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2/6/2019"/>
    <d v="1899-12-30T10:42:00"/>
    <x v="0"/>
    <n v="397.68"/>
    <n v="4.7619047620000003"/>
    <n v="19.884"/>
    <n v="7.5"/>
  </r>
  <r>
    <s v="232-16-2483"/>
    <x v="1"/>
    <x v="1"/>
    <x v="0"/>
    <x v="0"/>
    <x v="3"/>
    <n v="68.12"/>
    <n v="1"/>
    <n v="3.4060000000000001"/>
    <n v="71.525999999999996"/>
    <s v="1/7/2019"/>
    <d v="1899-12-30T12:28:00"/>
    <x v="0"/>
    <n v="68.12"/>
    <n v="4.7619047620000003"/>
    <n v="3.4060000000000001"/>
    <n v="6.8"/>
  </r>
  <r>
    <s v="129-29-8530"/>
    <x v="0"/>
    <x v="0"/>
    <x v="0"/>
    <x v="1"/>
    <x v="3"/>
    <n v="62.62"/>
    <n v="5"/>
    <n v="15.654999999999999"/>
    <n v="328.755"/>
    <s v="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3/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2/2/2019"/>
    <d v="1899-12-30T10:11:00"/>
    <x v="1"/>
    <n v="112.22"/>
    <n v="4.7619047620000003"/>
    <n v="5.6109999999999998"/>
    <n v="6.3"/>
  </r>
  <r>
    <s v="354-25-5821"/>
    <x v="2"/>
    <x v="2"/>
    <x v="0"/>
    <x v="0"/>
    <x v="3"/>
    <n v="69.12"/>
    <n v="6"/>
    <n v="20.736000000000001"/>
    <n v="435.45600000000002"/>
    <s v="2/8/2019"/>
    <d v="1899-12-30T13:03:00"/>
    <x v="1"/>
    <n v="414.72"/>
    <n v="4.7619047620000003"/>
    <n v="20.736000000000001"/>
    <n v="5.6"/>
  </r>
  <r>
    <s v="228-96-1411"/>
    <x v="1"/>
    <x v="1"/>
    <x v="0"/>
    <x v="0"/>
    <x v="4"/>
    <n v="98.7"/>
    <n v="8"/>
    <n v="39.479999999999997"/>
    <n v="829.08"/>
    <s v="3/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3/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2/6/2019"/>
    <d v="1899-12-30T15:47:00"/>
    <x v="0"/>
    <n v="180.09"/>
    <n v="4.7619047620000003"/>
    <n v="9.0045000000000002"/>
    <n v="4.0999999999999996"/>
  </r>
  <r>
    <s v="669-54-1719"/>
    <x v="2"/>
    <x v="2"/>
    <x v="0"/>
    <x v="1"/>
    <x v="1"/>
    <n v="18.93"/>
    <n v="6"/>
    <n v="5.6790000000000003"/>
    <n v="119.259"/>
    <s v="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2/3/2019"/>
    <d v="1899-12-30T10:19:00"/>
    <x v="1"/>
    <n v="639.79999999999995"/>
    <n v="4.7619047620000003"/>
    <n v="31.99"/>
    <n v="9.5"/>
  </r>
  <r>
    <s v="162-48-8011"/>
    <x v="0"/>
    <x v="0"/>
    <x v="0"/>
    <x v="0"/>
    <x v="4"/>
    <n v="44.59"/>
    <n v="5"/>
    <n v="11.147500000000001"/>
    <n v="234.0975"/>
    <s v="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3/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2/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2/3/2019"/>
    <d v="1899-12-30T13:40:00"/>
    <x v="0"/>
    <n v="495.63"/>
    <n v="4.7619047620000003"/>
    <n v="24.781500000000001"/>
    <n v="10"/>
  </r>
  <r>
    <s v="199-75-8169"/>
    <x v="0"/>
    <x v="0"/>
    <x v="0"/>
    <x v="1"/>
    <x v="3"/>
    <n v="15.81"/>
    <n v="10"/>
    <n v="7.9050000000000002"/>
    <n v="166.005"/>
    <s v="3/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2/10/2019"/>
    <d v="1899-12-30T15:43:00"/>
    <x v="0"/>
    <n v="66.94"/>
    <n v="4.7619047620000003"/>
    <n v="3.347"/>
    <n v="6.7"/>
  </r>
  <r>
    <s v="109-28-2512"/>
    <x v="2"/>
    <x v="2"/>
    <x v="0"/>
    <x v="0"/>
    <x v="5"/>
    <n v="97.61"/>
    <n v="6"/>
    <n v="29.283000000000001"/>
    <n v="614.94299999999998"/>
    <s v="1/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2/2/2019"/>
    <d v="1899-12-30T18:50:00"/>
    <x v="1"/>
    <n v="18.329999999999998"/>
    <n v="4.7619047620000003"/>
    <n v="0.91649999999999998"/>
    <n v="4.3"/>
  </r>
  <r>
    <s v="393-65-2792"/>
    <x v="1"/>
    <x v="1"/>
    <x v="1"/>
    <x v="1"/>
    <x v="4"/>
    <n v="89.48"/>
    <n v="10"/>
    <n v="44.74"/>
    <n v="939.54"/>
    <s v="1/6/2019"/>
    <d v="1899-12-30T12:46:00"/>
    <x v="2"/>
    <n v="894.8"/>
    <n v="4.7619047620000003"/>
    <n v="44.74"/>
    <n v="9.6"/>
  </r>
  <r>
    <s v="796-12-2025"/>
    <x v="1"/>
    <x v="1"/>
    <x v="1"/>
    <x v="1"/>
    <x v="5"/>
    <n v="62.12"/>
    <n v="10"/>
    <n v="31.06"/>
    <n v="652.26"/>
    <s v="2/11/2019"/>
    <d v="1899-12-30T16:19:00"/>
    <x v="1"/>
    <n v="621.20000000000005"/>
    <n v="4.7619047620000003"/>
    <n v="31.06"/>
    <n v="5.9"/>
  </r>
  <r>
    <s v="510-95-6347"/>
    <x v="2"/>
    <x v="2"/>
    <x v="0"/>
    <x v="0"/>
    <x v="4"/>
    <n v="48.52"/>
    <n v="3"/>
    <n v="7.2779999999999996"/>
    <n v="152.83799999999999"/>
    <s v="3/5/2019"/>
    <d v="1899-12-30T18:17:00"/>
    <x v="0"/>
    <n v="145.56"/>
    <n v="4.7619047620000003"/>
    <n v="7.2779999999999996"/>
    <n v="4"/>
  </r>
  <r>
    <s v="841-35-6630"/>
    <x v="1"/>
    <x v="1"/>
    <x v="1"/>
    <x v="0"/>
    <x v="1"/>
    <n v="75.91"/>
    <n v="6"/>
    <n v="22.773"/>
    <n v="478.233"/>
    <s v="3/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1/9/2019"/>
    <d v="1899-12-30T14:20:00"/>
    <x v="2"/>
    <n v="441.36"/>
    <n v="4.7619047620000003"/>
    <n v="22.068000000000001"/>
    <n v="8.6"/>
  </r>
  <r>
    <s v="381-20-0914"/>
    <x v="0"/>
    <x v="0"/>
    <x v="0"/>
    <x v="0"/>
    <x v="5"/>
    <n v="20.010000000000002"/>
    <n v="9"/>
    <n v="9.0045000000000002"/>
    <n v="189.09450000000001"/>
    <s v="1/12/2019"/>
    <d v="1899-12-30T15:48:00"/>
    <x v="2"/>
    <n v="180.09"/>
    <n v="4.7619047620000003"/>
    <n v="9.0045000000000002"/>
    <n v="5.7"/>
  </r>
  <r>
    <s v="829-49-1914"/>
    <x v="1"/>
    <x v="1"/>
    <x v="0"/>
    <x v="0"/>
    <x v="4"/>
    <n v="78.31"/>
    <n v="10"/>
    <n v="39.155000000000001"/>
    <n v="822.255"/>
    <s v="3/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3/9/2019"/>
    <d v="1899-12-30T10:17:00"/>
    <x v="1"/>
    <n v="244.55"/>
    <n v="4.7619047620000003"/>
    <n v="12.227499999999999"/>
    <n v="6.6"/>
  </r>
  <r>
    <s v="730-50-9884"/>
    <x v="1"/>
    <x v="1"/>
    <x v="1"/>
    <x v="0"/>
    <x v="3"/>
    <n v="83.06"/>
    <n v="7"/>
    <n v="29.071000000000002"/>
    <n v="610.49099999999999"/>
    <s v="3/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1/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1/10/2019"/>
    <d v="1899-12-30T16:42:00"/>
    <x v="0"/>
    <n v="153.86000000000001"/>
    <n v="4.7619047620000003"/>
    <n v="7.6929999999999996"/>
    <n v="5.0999999999999996"/>
  </r>
  <r>
    <s v="152-08-9985"/>
    <x v="2"/>
    <x v="2"/>
    <x v="0"/>
    <x v="1"/>
    <x v="0"/>
    <n v="64.36"/>
    <n v="9"/>
    <n v="28.962"/>
    <n v="608.202"/>
    <s v="3/12/2019"/>
    <d v="1899-12-30T12:09:00"/>
    <x v="2"/>
    <n v="579.24"/>
    <n v="4.7619047620000003"/>
    <n v="28.962"/>
    <n v="8.6"/>
  </r>
  <r>
    <s v="512-91-0811"/>
    <x v="1"/>
    <x v="1"/>
    <x v="1"/>
    <x v="1"/>
    <x v="0"/>
    <n v="89.75"/>
    <n v="1"/>
    <n v="4.4874999999999998"/>
    <n v="94.237499999999997"/>
    <s v="2/6/2019"/>
    <d v="1899-12-30T20:05:00"/>
    <x v="2"/>
    <n v="89.75"/>
    <n v="4.7619047620000003"/>
    <n v="4.4874999999999998"/>
    <n v="6.6"/>
  </r>
  <r>
    <s v="594-34-4444"/>
    <x v="0"/>
    <x v="0"/>
    <x v="1"/>
    <x v="1"/>
    <x v="1"/>
    <n v="97.16"/>
    <n v="1"/>
    <n v="4.8579999999999997"/>
    <n v="102.018"/>
    <s v="3/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2/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3/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3/1/2019"/>
    <d v="1899-12-30T13:22:00"/>
    <x v="1"/>
    <n v="706.95"/>
    <n v="4.7619047620000003"/>
    <n v="35.347499999999997"/>
    <n v="7.2"/>
  </r>
  <r>
    <s v="551-21-3069"/>
    <x v="1"/>
    <x v="1"/>
    <x v="1"/>
    <x v="0"/>
    <x v="1"/>
    <n v="23.07"/>
    <n v="9"/>
    <n v="10.381500000000001"/>
    <n v="218.01150000000001"/>
    <s v="2/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1/12/2019"/>
    <d v="1899-12-30T14:50:00"/>
    <x v="0"/>
    <n v="886.7"/>
    <n v="4.7619047620000003"/>
    <n v="44.335000000000001"/>
    <n v="7.3"/>
  </r>
  <r>
    <s v="628-34-3388"/>
    <x v="1"/>
    <x v="1"/>
    <x v="1"/>
    <x v="1"/>
    <x v="5"/>
    <n v="27.38"/>
    <n v="6"/>
    <n v="8.2140000000000004"/>
    <n v="172.494"/>
    <s v="1/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3/3/2019"/>
    <d v="1899-12-30T14:30:00"/>
    <x v="1"/>
    <n v="819.7"/>
    <n v="4.7619047620000003"/>
    <n v="40.984999999999999"/>
    <n v="9.1999999999999993"/>
  </r>
  <r>
    <s v="479-26-8945"/>
    <x v="2"/>
    <x v="2"/>
    <x v="0"/>
    <x v="0"/>
    <x v="3"/>
    <n v="16.489999999999998"/>
    <n v="2"/>
    <n v="1.649"/>
    <n v="34.628999999999998"/>
    <s v="2/5/2019"/>
    <d v="1899-12-30T11:32:00"/>
    <x v="0"/>
    <n v="32.979999999999997"/>
    <n v="4.7619047620000003"/>
    <n v="1.649"/>
    <n v="4.5999999999999996"/>
  </r>
  <r>
    <s v="210-67-5886"/>
    <x v="1"/>
    <x v="1"/>
    <x v="0"/>
    <x v="0"/>
    <x v="0"/>
    <n v="98.21"/>
    <n v="3"/>
    <n v="14.7315"/>
    <n v="309.36149999999998"/>
    <s v="2/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2/1/2019"/>
    <d v="1899-12-30T20:31:00"/>
    <x v="2"/>
    <n v="727.11"/>
    <n v="4.7619047620000003"/>
    <n v="36.355499999999999"/>
    <n v="9.5"/>
  </r>
  <r>
    <s v="225-98-1496"/>
    <x v="1"/>
    <x v="1"/>
    <x v="1"/>
    <x v="0"/>
    <x v="5"/>
    <n v="27.02"/>
    <n v="3"/>
    <n v="4.0529999999999999"/>
    <n v="85.113"/>
    <s v="3/2/2019"/>
    <d v="1899-12-30T13:01:00"/>
    <x v="2"/>
    <n v="81.06"/>
    <n v="4.7619047620000003"/>
    <n v="4.0529999999999999"/>
    <n v="7.1"/>
  </r>
  <r>
    <s v="291-32-1427"/>
    <x v="2"/>
    <x v="2"/>
    <x v="0"/>
    <x v="1"/>
    <x v="5"/>
    <n v="21.94"/>
    <n v="5"/>
    <n v="5.4850000000000003"/>
    <n v="115.185"/>
    <s v="3/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2/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1/12/2019"/>
    <d v="1899-12-30T12:02:00"/>
    <x v="2"/>
    <n v="399.84"/>
    <n v="4.7619047620000003"/>
    <n v="19.992000000000001"/>
    <n v="6.5"/>
  </r>
  <r>
    <s v="219-22-9386"/>
    <x v="2"/>
    <x v="2"/>
    <x v="0"/>
    <x v="1"/>
    <x v="3"/>
    <n v="99.96"/>
    <n v="9"/>
    <n v="44.981999999999999"/>
    <n v="944.62199999999996"/>
    <s v="3/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3/9/2019"/>
    <d v="1899-12-30T14:57:00"/>
    <x v="0"/>
    <n v="451.76"/>
    <n v="4.7619047620000003"/>
    <n v="22.588000000000001"/>
    <n v="7.3"/>
  </r>
  <r>
    <s v="668-90-8900"/>
    <x v="0"/>
    <x v="0"/>
    <x v="1"/>
    <x v="0"/>
    <x v="2"/>
    <n v="93.69"/>
    <n v="7"/>
    <n v="32.791499999999999"/>
    <n v="688.62149999999997"/>
    <s v="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1/8/2019"/>
    <d v="1899-12-30T16:17:00"/>
    <x v="2"/>
    <n v="285.57"/>
    <n v="4.7619047620000003"/>
    <n v="14.278499999999999"/>
    <n v="5.9"/>
  </r>
  <r>
    <s v="663-86-9076"/>
    <x v="1"/>
    <x v="1"/>
    <x v="0"/>
    <x v="0"/>
    <x v="4"/>
    <n v="68.540000000000006"/>
    <n v="8"/>
    <n v="27.416"/>
    <n v="575.73599999999999"/>
    <s v="1/8/2019"/>
    <d v="1899-12-30T15:57:00"/>
    <x v="0"/>
    <n v="548.32000000000005"/>
    <n v="4.7619047620000003"/>
    <n v="27.416"/>
    <n v="8.5"/>
  </r>
  <r>
    <s v="549-84-7482"/>
    <x v="2"/>
    <x v="2"/>
    <x v="1"/>
    <x v="0"/>
    <x v="3"/>
    <n v="90.28"/>
    <n v="9"/>
    <n v="40.625999999999998"/>
    <n v="853.14599999999996"/>
    <s v="2/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3/6/2019"/>
    <d v="1899-12-30T20:34:00"/>
    <x v="1"/>
    <n v="552.78"/>
    <n v="4.7619047620000003"/>
    <n v="27.638999999999999"/>
    <n v="8.3000000000000007"/>
  </r>
  <r>
    <s v="695-51-0018"/>
    <x v="2"/>
    <x v="2"/>
    <x v="1"/>
    <x v="0"/>
    <x v="3"/>
    <n v="34.840000000000003"/>
    <n v="4"/>
    <n v="6.968"/>
    <n v="146.328"/>
    <s v="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3/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2/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3/8/2019"/>
    <d v="1899-12-30T17:11:00"/>
    <x v="2"/>
    <n v="277.56"/>
    <n v="4.7619047620000003"/>
    <n v="13.878"/>
    <n v="9.5"/>
  </r>
  <r>
    <s v="685-64-1609"/>
    <x v="0"/>
    <x v="0"/>
    <x v="0"/>
    <x v="0"/>
    <x v="5"/>
    <n v="30.14"/>
    <n v="10"/>
    <n v="15.07"/>
    <n v="316.47000000000003"/>
    <s v="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3/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2/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1/4/2019"/>
    <d v="1899-12-30T19:40:00"/>
    <x v="1"/>
    <n v="72.17"/>
    <n v="4.7619047620000003"/>
    <n v="3.6084999999999998"/>
    <n v="6.1"/>
  </r>
  <r>
    <s v="307-85-2293"/>
    <x v="2"/>
    <x v="2"/>
    <x v="1"/>
    <x v="1"/>
    <x v="2"/>
    <n v="50.28"/>
    <n v="5"/>
    <n v="12.57"/>
    <n v="263.97000000000003"/>
    <s v="3/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2/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2/1/2019"/>
    <d v="1899-12-30T15:10:00"/>
    <x v="2"/>
    <n v="486.64"/>
    <n v="4.7619047620000003"/>
    <n v="24.332000000000001"/>
    <n v="8.5"/>
  </r>
  <r>
    <s v="249-42-3782"/>
    <x v="0"/>
    <x v="0"/>
    <x v="1"/>
    <x v="1"/>
    <x v="0"/>
    <n v="70.010000000000005"/>
    <n v="5"/>
    <n v="17.502500000000001"/>
    <n v="367.55250000000001"/>
    <s v="1/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3/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3/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2/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3/4/2019"/>
    <d v="1899-12-30T11:19:00"/>
    <x v="2"/>
    <n v="86.38"/>
    <n v="4.7619047620000003"/>
    <n v="4.319"/>
    <n v="6.7"/>
  </r>
  <r>
    <s v="895-66-0685"/>
    <x v="2"/>
    <x v="2"/>
    <x v="0"/>
    <x v="1"/>
    <x v="4"/>
    <n v="18.079999999999998"/>
    <n v="3"/>
    <n v="2.7120000000000002"/>
    <n v="56.951999999999998"/>
    <s v="3/5/2019"/>
    <d v="1899-12-30T19:46:00"/>
    <x v="0"/>
    <n v="54.24"/>
    <n v="4.7619047620000003"/>
    <n v="2.7120000000000002"/>
    <n v="8"/>
  </r>
  <r>
    <s v="305-14-0245"/>
    <x v="2"/>
    <x v="2"/>
    <x v="0"/>
    <x v="0"/>
    <x v="2"/>
    <n v="94.49"/>
    <n v="8"/>
    <n v="37.795999999999999"/>
    <n v="793.71600000000001"/>
    <s v="3/3/2019"/>
    <d v="1899-12-30T19:00:00"/>
    <x v="0"/>
    <n v="755.92"/>
    <n v="4.7619047620000003"/>
    <n v="37.795999999999999"/>
    <n v="7.5"/>
  </r>
  <r>
    <s v="732-04-5373"/>
    <x v="2"/>
    <x v="2"/>
    <x v="0"/>
    <x v="1"/>
    <x v="2"/>
    <n v="46.47"/>
    <n v="4"/>
    <n v="9.2940000000000005"/>
    <n v="195.17400000000001"/>
    <s v="2/8/2019"/>
    <d v="1899-12-30T10:53:00"/>
    <x v="1"/>
    <n v="185.88"/>
    <n v="4.7619047620000003"/>
    <n v="9.2940000000000005"/>
    <n v="7"/>
  </r>
  <r>
    <s v="400-60-7251"/>
    <x v="0"/>
    <x v="0"/>
    <x v="1"/>
    <x v="1"/>
    <x v="2"/>
    <n v="74.069999999999993"/>
    <n v="1"/>
    <n v="3.7035"/>
    <n v="77.773499999999999"/>
    <s v="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2/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1/3/2019"/>
    <d v="1899-12-30T12:02:00"/>
    <x v="0"/>
    <n v="207.27"/>
    <n v="4.7619047620000003"/>
    <n v="10.3635"/>
    <n v="7.9"/>
  </r>
  <r>
    <s v="672-51-8681"/>
    <x v="1"/>
    <x v="1"/>
    <x v="0"/>
    <x v="0"/>
    <x v="1"/>
    <n v="66.650000000000006"/>
    <n v="9"/>
    <n v="29.9925"/>
    <n v="629.84249999999997"/>
    <s v="1/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3/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1/4/2019"/>
    <d v="1899-12-30T13:24:00"/>
    <x v="2"/>
    <n v="139.26"/>
    <n v="4.7619047620000003"/>
    <n v="6.9630000000000001"/>
    <n v="4.4000000000000004"/>
  </r>
  <r>
    <s v="891-58-8335"/>
    <x v="2"/>
    <x v="2"/>
    <x v="0"/>
    <x v="0"/>
    <x v="3"/>
    <n v="29.61"/>
    <n v="7"/>
    <n v="10.3635"/>
    <n v="217.6335"/>
    <s v="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2/12/2019"/>
    <d v="1899-12-30T12:58:00"/>
    <x v="0"/>
    <n v="758.96"/>
    <n v="4.7619047620000003"/>
    <n v="37.948"/>
    <n v="8.6999999999999993"/>
  </r>
  <r>
    <s v="790-29-1172"/>
    <x v="2"/>
    <x v="2"/>
    <x v="1"/>
    <x v="0"/>
    <x v="4"/>
    <n v="57.34"/>
    <n v="3"/>
    <n v="8.6010000000000009"/>
    <n v="180.62100000000001"/>
    <s v="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3/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3/12/2019"/>
    <d v="1899-12-30T13:52:00"/>
    <x v="2"/>
    <n v="31.77"/>
    <n v="4.7619047620000003"/>
    <n v="1.5885"/>
    <n v="8.6999999999999993"/>
  </r>
  <r>
    <s v="418-02-5978"/>
    <x v="2"/>
    <x v="2"/>
    <x v="1"/>
    <x v="0"/>
    <x v="0"/>
    <n v="84.09"/>
    <n v="9"/>
    <n v="37.840499999999999"/>
    <n v="794.65049999999997"/>
    <s v="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3/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3/5/2019"/>
    <d v="1899-12-30T17:07:00"/>
    <x v="2"/>
    <n v="221.1"/>
    <n v="4.7619047620000003"/>
    <n v="11.055"/>
    <n v="8.6"/>
  </r>
  <r>
    <s v="346-84-3103"/>
    <x v="2"/>
    <x v="2"/>
    <x v="0"/>
    <x v="0"/>
    <x v="1"/>
    <n v="13.22"/>
    <n v="5"/>
    <n v="3.3050000000000002"/>
    <n v="69.405000000000001"/>
    <s v="3/2/2019"/>
    <d v="1899-12-30T19:26:00"/>
    <x v="1"/>
    <n v="66.099999999999994"/>
    <n v="4.7619047620000003"/>
    <n v="3.3050000000000002"/>
    <n v="4.3"/>
  </r>
  <r>
    <s v="478-06-7835"/>
    <x v="0"/>
    <x v="0"/>
    <x v="1"/>
    <x v="1"/>
    <x v="5"/>
    <n v="89.69"/>
    <n v="1"/>
    <n v="4.4844999999999997"/>
    <n v="94.174499999999995"/>
    <s v="1/11/2019"/>
    <d v="1899-12-30T11:20:00"/>
    <x v="0"/>
    <n v="89.69"/>
    <n v="4.7619047620000003"/>
    <n v="4.4844999999999997"/>
    <n v="4.9000000000000004"/>
  </r>
  <r>
    <s v="540-11-4336"/>
    <x v="0"/>
    <x v="0"/>
    <x v="1"/>
    <x v="1"/>
    <x v="4"/>
    <n v="24.94"/>
    <n v="9"/>
    <n v="11.223000000000001"/>
    <n v="235.68299999999999"/>
    <s v="1/11/2019"/>
    <d v="1899-12-30T16:49:00"/>
    <x v="2"/>
    <n v="224.46"/>
    <n v="4.7619047620000003"/>
    <n v="11.223000000000001"/>
    <n v="5.6"/>
  </r>
  <r>
    <s v="448-81-5016"/>
    <x v="0"/>
    <x v="0"/>
    <x v="1"/>
    <x v="1"/>
    <x v="0"/>
    <n v="59.77"/>
    <n v="2"/>
    <n v="5.9770000000000003"/>
    <n v="125.517"/>
    <s v="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1/5/2019"/>
    <d v="1899-12-30T11:25:00"/>
    <x v="1"/>
    <n v="250.6"/>
    <n v="4.7619047620000003"/>
    <n v="12.53"/>
    <n v="4.2"/>
  </r>
  <r>
    <s v="376-02-8238"/>
    <x v="2"/>
    <x v="2"/>
    <x v="1"/>
    <x v="1"/>
    <x v="2"/>
    <n v="93.87"/>
    <n v="8"/>
    <n v="37.548000000000002"/>
    <n v="788.50800000000004"/>
    <s v="2/2/2019"/>
    <d v="1899-12-30T18:42:00"/>
    <x v="2"/>
    <n v="750.96"/>
    <n v="4.7619047620000003"/>
    <n v="37.548000000000002"/>
    <n v="8.3000000000000007"/>
  </r>
  <r>
    <s v="530-90-9855"/>
    <x v="0"/>
    <x v="0"/>
    <x v="0"/>
    <x v="1"/>
    <x v="2"/>
    <n v="47.59"/>
    <n v="8"/>
    <n v="19.036000000000001"/>
    <n v="399.75599999999997"/>
    <s v="1/1/2019"/>
    <d v="1899-12-30T14:47:00"/>
    <x v="1"/>
    <n v="380.72"/>
    <n v="4.7619047620000003"/>
    <n v="19.036000000000001"/>
    <n v="5.7"/>
  </r>
  <r>
    <s v="866-05-7563"/>
    <x v="2"/>
    <x v="2"/>
    <x v="0"/>
    <x v="0"/>
    <x v="1"/>
    <n v="81.400000000000006"/>
    <n v="3"/>
    <n v="12.21"/>
    <n v="256.41000000000003"/>
    <s v="2/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1/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2/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3/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1/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2/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2/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3/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2/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1/8/2019"/>
    <d v="1899-12-30T20:55:00"/>
    <x v="1"/>
    <n v="746"/>
    <n v="4.7619047620000003"/>
    <n v="37.299999999999997"/>
    <n v="9.5"/>
  </r>
  <r>
    <s v="144-51-6085"/>
    <x v="0"/>
    <x v="0"/>
    <x v="0"/>
    <x v="1"/>
    <x v="2"/>
    <n v="70.739999999999995"/>
    <n v="4"/>
    <n v="14.148"/>
    <n v="297.108"/>
    <s v="1/5/2019"/>
    <d v="1899-12-30T16:05:00"/>
    <x v="2"/>
    <n v="282.95999999999998"/>
    <n v="4.7619047620000003"/>
    <n v="14.148"/>
    <n v="4.4000000000000004"/>
  </r>
  <r>
    <s v="731-14-2199"/>
    <x v="0"/>
    <x v="0"/>
    <x v="0"/>
    <x v="0"/>
    <x v="2"/>
    <n v="35.54"/>
    <n v="10"/>
    <n v="17.77"/>
    <n v="373.17"/>
    <s v="1/4/2019"/>
    <d v="1899-12-30T13:34:00"/>
    <x v="0"/>
    <n v="355.4"/>
    <n v="4.7619047620000003"/>
    <n v="17.77"/>
    <n v="7"/>
  </r>
  <r>
    <s v="783-09-1637"/>
    <x v="2"/>
    <x v="2"/>
    <x v="1"/>
    <x v="0"/>
    <x v="3"/>
    <n v="67.430000000000007"/>
    <n v="5"/>
    <n v="16.857500000000002"/>
    <n v="354.00749999999999"/>
    <s v="3/6/2019"/>
    <d v="1899-12-30T18:13:00"/>
    <x v="0"/>
    <n v="337.15"/>
    <n v="4.7619047620000003"/>
    <n v="16.857500000000002"/>
    <n v="6.3"/>
  </r>
  <r>
    <s v="687-15-1097"/>
    <x v="1"/>
    <x v="1"/>
    <x v="0"/>
    <x v="0"/>
    <x v="0"/>
    <n v="21.12"/>
    <n v="2"/>
    <n v="2.1120000000000001"/>
    <n v="44.351999999999997"/>
    <s v="1/3/2019"/>
    <d v="1899-12-30T19:17:00"/>
    <x v="1"/>
    <n v="42.24"/>
    <n v="4.7619047620000003"/>
    <n v="2.1120000000000001"/>
    <n v="9.6999999999999993"/>
  </r>
  <r>
    <s v="126-54-1082"/>
    <x v="0"/>
    <x v="0"/>
    <x v="0"/>
    <x v="0"/>
    <x v="2"/>
    <n v="21.54"/>
    <n v="9"/>
    <n v="9.6929999999999996"/>
    <n v="203.553"/>
    <s v="1/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1/7/2019"/>
    <d v="1899-12-30T20:52:00"/>
    <x v="1"/>
    <n v="335.79"/>
    <n v="4.7619047620000003"/>
    <n v="16.7895"/>
    <n v="6.2"/>
  </r>
  <r>
    <s v="526-86-8552"/>
    <x v="1"/>
    <x v="1"/>
    <x v="0"/>
    <x v="0"/>
    <x v="2"/>
    <n v="21.82"/>
    <n v="10"/>
    <n v="10.91"/>
    <n v="229.11"/>
    <s v="1/7/2019"/>
    <d v="1899-12-30T17:36:00"/>
    <x v="1"/>
    <n v="218.2"/>
    <n v="4.7619047620000003"/>
    <n v="10.91"/>
    <n v="7.1"/>
  </r>
  <r>
    <s v="376-56-3573"/>
    <x v="1"/>
    <x v="1"/>
    <x v="1"/>
    <x v="0"/>
    <x v="5"/>
    <n v="95.42"/>
    <n v="4"/>
    <n v="19.084"/>
    <n v="400.76400000000001"/>
    <s v="2/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3/6/2019"/>
    <d v="1899-12-30T13:29:00"/>
    <x v="2"/>
    <n v="37"/>
    <n v="4.7619047620000003"/>
    <n v="1.85"/>
    <n v="7.9"/>
  </r>
  <r>
    <s v="490-29-1201"/>
    <x v="0"/>
    <x v="0"/>
    <x v="1"/>
    <x v="0"/>
    <x v="3"/>
    <n v="15.34"/>
    <n v="1"/>
    <n v="0.76700000000000002"/>
    <n v="16.106999999999999"/>
    <s v="1/6/2019"/>
    <d v="1899-12-30T11:09:00"/>
    <x v="1"/>
    <n v="15.34"/>
    <n v="4.7619047620000003"/>
    <n v="0.76700000000000002"/>
    <n v="6.5"/>
  </r>
  <r>
    <s v="667-92-0055"/>
    <x v="0"/>
    <x v="0"/>
    <x v="0"/>
    <x v="1"/>
    <x v="0"/>
    <n v="99.83"/>
    <n v="6"/>
    <n v="29.949000000000002"/>
    <n v="628.92899999999997"/>
    <s v="3/4/2019"/>
    <d v="1899-12-30T15:02:00"/>
    <x v="0"/>
    <n v="598.98"/>
    <n v="4.7619047620000003"/>
    <n v="29.949000000000002"/>
    <n v="8.5"/>
  </r>
  <r>
    <s v="565-17-3836"/>
    <x v="0"/>
    <x v="0"/>
    <x v="0"/>
    <x v="0"/>
    <x v="0"/>
    <n v="47.67"/>
    <n v="4"/>
    <n v="9.5340000000000007"/>
    <n v="200.214"/>
    <s v="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2/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3/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1/2/2019"/>
    <d v="1899-12-30T18:09:00"/>
    <x v="2"/>
    <n v="199.64"/>
    <n v="4.7619047620000003"/>
    <n v="9.9819999999999993"/>
    <n v="6.7"/>
  </r>
  <r>
    <s v="573-10-3877"/>
    <x v="2"/>
    <x v="2"/>
    <x v="0"/>
    <x v="1"/>
    <x v="0"/>
    <n v="39.01"/>
    <n v="1"/>
    <n v="1.9504999999999999"/>
    <n v="40.960500000000003"/>
    <s v="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3/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2/5/2019"/>
    <d v="1899-12-30T19:05:00"/>
    <x v="0"/>
    <n v="138.66"/>
    <n v="4.7619047620000003"/>
    <n v="6.9329999999999998"/>
    <n v="9.6999999999999993"/>
  </r>
  <r>
    <s v="870-76-1733"/>
    <x v="0"/>
    <x v="0"/>
    <x v="0"/>
    <x v="0"/>
    <x v="4"/>
    <n v="14.23"/>
    <n v="5"/>
    <n v="3.5575000000000001"/>
    <n v="74.707499999999996"/>
    <s v="2/1/2019"/>
    <d v="1899-12-30T10:08:00"/>
    <x v="2"/>
    <n v="71.150000000000006"/>
    <n v="4.7619047620000003"/>
    <n v="3.5575000000000001"/>
    <n v="4.4000000000000004"/>
  </r>
  <r>
    <s v="423-64-4619"/>
    <x v="0"/>
    <x v="0"/>
    <x v="0"/>
    <x v="0"/>
    <x v="0"/>
    <n v="15.55"/>
    <n v="9"/>
    <n v="6.9974999999999996"/>
    <n v="146.94749999999999"/>
    <s v="3/7/2019"/>
    <d v="1899-12-30T13:12:00"/>
    <x v="1"/>
    <n v="139.94999999999999"/>
    <n v="4.7619047620000003"/>
    <n v="6.9974999999999996"/>
    <n v="5"/>
  </r>
  <r>
    <s v="227-07-4446"/>
    <x v="1"/>
    <x v="1"/>
    <x v="0"/>
    <x v="0"/>
    <x v="1"/>
    <n v="78.13"/>
    <n v="10"/>
    <n v="39.064999999999998"/>
    <n v="820.36500000000001"/>
    <s v="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2/9/2019"/>
    <d v="1899-12-30T10:25:00"/>
    <x v="1"/>
    <n v="63.24"/>
    <n v="4.7619047620000003"/>
    <n v="3.1619999999999999"/>
    <n v="7.3"/>
  </r>
  <r>
    <s v="603-07-0961"/>
    <x v="1"/>
    <x v="1"/>
    <x v="0"/>
    <x v="1"/>
    <x v="1"/>
    <n v="74.790000000000006"/>
    <n v="5"/>
    <n v="18.697500000000002"/>
    <n v="392.64749999999998"/>
    <s v="1/10/2019"/>
    <d v="1899-12-30T11:34:00"/>
    <x v="1"/>
    <n v="373.95"/>
    <n v="4.7619047620000003"/>
    <n v="18.697500000000002"/>
    <n v="4.9000000000000004"/>
  </r>
  <r>
    <s v="704-20-4138"/>
    <x v="1"/>
    <x v="1"/>
    <x v="0"/>
    <x v="0"/>
    <x v="0"/>
    <n v="29.67"/>
    <n v="7"/>
    <n v="10.384499999999999"/>
    <n v="218.0745"/>
    <s v="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3/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3/12/2019"/>
    <d v="1899-12-30T19:53:00"/>
    <x v="0"/>
    <n v="390.96"/>
    <n v="4.7619047620000003"/>
    <n v="19.547999999999998"/>
    <n v="6.4"/>
  </r>
  <r>
    <s v="815-11-1168"/>
    <x v="0"/>
    <x v="0"/>
    <x v="0"/>
    <x v="1"/>
    <x v="4"/>
    <n v="99.78"/>
    <n v="5"/>
    <n v="24.945"/>
    <n v="523.84500000000003"/>
    <s v="3/9/2019"/>
    <d v="1899-12-30T19:09:00"/>
    <x v="1"/>
    <n v="498.9"/>
    <n v="4.7619047620000003"/>
    <n v="24.945"/>
    <n v="5.4"/>
  </r>
  <r>
    <s v="719-76-3868"/>
    <x v="1"/>
    <x v="1"/>
    <x v="0"/>
    <x v="1"/>
    <x v="4"/>
    <n v="94.26"/>
    <n v="4"/>
    <n v="18.852"/>
    <n v="395.892"/>
    <s v="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2/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2/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2/5/2019"/>
    <d v="1899-12-30T15:26:00"/>
    <x v="2"/>
    <n v="385.38"/>
    <n v="4.7619047620000003"/>
    <n v="19.268999999999998"/>
    <n v="8.9"/>
  </r>
  <r>
    <s v="378-07-7001"/>
    <x v="2"/>
    <x v="2"/>
    <x v="0"/>
    <x v="1"/>
    <x v="1"/>
    <n v="48.09"/>
    <n v="3"/>
    <n v="7.2134999999999998"/>
    <n v="151.48349999999999"/>
    <s v="2/10/2019"/>
    <d v="1899-12-30T18:23:00"/>
    <x v="2"/>
    <n v="144.27000000000001"/>
    <n v="4.7619047620000003"/>
    <n v="7.2134999999999998"/>
    <n v="7.8"/>
  </r>
  <r>
    <s v="433-75-6987"/>
    <x v="2"/>
    <x v="2"/>
    <x v="0"/>
    <x v="0"/>
    <x v="0"/>
    <n v="55.97"/>
    <n v="7"/>
    <n v="19.589500000000001"/>
    <n v="411.37950000000001"/>
    <s v="3/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2/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3/2/2019"/>
    <d v="1899-12-30T14:16:00"/>
    <x v="1"/>
    <n v="243"/>
    <n v="4.7619047620000003"/>
    <n v="12.15"/>
    <n v="4.8"/>
  </r>
  <r>
    <s v="320-49-6392"/>
    <x v="1"/>
    <x v="1"/>
    <x v="1"/>
    <x v="0"/>
    <x v="1"/>
    <n v="30.24"/>
    <n v="1"/>
    <n v="1.512"/>
    <n v="31.751999999999999"/>
    <s v="3/4/2019"/>
    <d v="1899-12-30T15:44:00"/>
    <x v="1"/>
    <n v="30.24"/>
    <n v="4.7619047620000003"/>
    <n v="1.512"/>
    <n v="8.4"/>
  </r>
  <r>
    <s v="889-04-9723"/>
    <x v="2"/>
    <x v="2"/>
    <x v="0"/>
    <x v="0"/>
    <x v="4"/>
    <n v="89.14"/>
    <n v="4"/>
    <n v="17.827999999999999"/>
    <n v="374.38799999999998"/>
    <s v="1/7/2019"/>
    <d v="1899-12-30T12:20:00"/>
    <x v="2"/>
    <n v="356.56"/>
    <n v="4.7619047620000003"/>
    <n v="17.827999999999999"/>
    <n v="7.8"/>
  </r>
  <r>
    <s v="632-90-0281"/>
    <x v="1"/>
    <x v="1"/>
    <x v="1"/>
    <x v="0"/>
    <x v="5"/>
    <n v="37.549999999999997"/>
    <n v="10"/>
    <n v="18.774999999999999"/>
    <n v="394.27499999999998"/>
    <s v="3/8/2019"/>
    <d v="1899-12-30T20:01:00"/>
    <x v="2"/>
    <n v="375.5"/>
    <n v="4.7619047620000003"/>
    <n v="18.774999999999999"/>
    <n v="9.3000000000000007"/>
  </r>
  <r>
    <s v="554-42-2417"/>
    <x v="1"/>
    <x v="1"/>
    <x v="1"/>
    <x v="0"/>
    <x v="3"/>
    <n v="95.44"/>
    <n v="10"/>
    <n v="47.72"/>
    <n v="1002.12"/>
    <s v="1/9/2019"/>
    <d v="1899-12-30T13:45:00"/>
    <x v="1"/>
    <n v="954.4"/>
    <n v="4.7619047620000003"/>
    <n v="47.72"/>
    <n v="5.2"/>
  </r>
  <r>
    <s v="453-63-6187"/>
    <x v="2"/>
    <x v="2"/>
    <x v="1"/>
    <x v="1"/>
    <x v="1"/>
    <n v="27.5"/>
    <n v="3"/>
    <n v="4.125"/>
    <n v="86.625"/>
    <s v="3/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3/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1/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3/6/2019"/>
    <d v="1899-12-30T12:46:00"/>
    <x v="2"/>
    <n v="193.5"/>
    <n v="4.7619047620000003"/>
    <n v="9.6750000000000007"/>
    <n v="7.8"/>
  </r>
  <r>
    <s v="201-86-2184"/>
    <x v="2"/>
    <x v="2"/>
    <x v="0"/>
    <x v="0"/>
    <x v="1"/>
    <n v="26.26"/>
    <n v="7"/>
    <n v="9.1910000000000007"/>
    <n v="193.011"/>
    <s v="2/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1/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1/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2/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3/1/2019"/>
    <d v="1899-12-30T15:32:00"/>
    <x v="0"/>
    <n v="299.56"/>
    <n v="4.7619047620000003"/>
    <n v="14.978"/>
    <n v="4.2"/>
  </r>
  <r>
    <s v="662-72-2873"/>
    <x v="0"/>
    <x v="0"/>
    <x v="1"/>
    <x v="0"/>
    <x v="4"/>
    <n v="40.94"/>
    <n v="5"/>
    <n v="10.234999999999999"/>
    <n v="214.935"/>
    <s v="1/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3/9/2019"/>
    <d v="1899-12-30T12:45:00"/>
    <x v="2"/>
    <n v="522.6"/>
    <n v="4.7619047620000003"/>
    <n v="26.13"/>
    <n v="6.2"/>
  </r>
  <r>
    <s v="885-17-6250"/>
    <x v="0"/>
    <x v="0"/>
    <x v="1"/>
    <x v="0"/>
    <x v="0"/>
    <n v="79.739999999999995"/>
    <n v="1"/>
    <n v="3.9870000000000001"/>
    <n v="83.727000000000004"/>
    <s v="3/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3/5/2019"/>
    <d v="1899-12-30T13:30:00"/>
    <x v="2"/>
    <n v="246.36"/>
    <n v="4.7619047620000003"/>
    <n v="12.318"/>
    <n v="8.3000000000000007"/>
  </r>
  <r>
    <s v="346-12-3257"/>
    <x v="2"/>
    <x v="2"/>
    <x v="0"/>
    <x v="1"/>
    <x v="1"/>
    <n v="19.239999999999998"/>
    <n v="9"/>
    <n v="8.6579999999999995"/>
    <n v="181.81800000000001"/>
    <s v="3/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3/12/2019"/>
    <d v="1899-12-30T20:04:00"/>
    <x v="2"/>
    <n v="184.88"/>
    <n v="4.7619047620000003"/>
    <n v="9.2439999999999998"/>
    <n v="6.2"/>
  </r>
  <r>
    <s v="236-86-3015"/>
    <x v="1"/>
    <x v="1"/>
    <x v="0"/>
    <x v="1"/>
    <x v="2"/>
    <n v="13.98"/>
    <n v="1"/>
    <n v="0.69899999999999995"/>
    <n v="14.679"/>
    <s v="2/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1/11/2019"/>
    <d v="1899-12-30T19:07:00"/>
    <x v="2"/>
    <n v="68.95"/>
    <n v="4.7619047620000003"/>
    <n v="3.4474999999999998"/>
    <n v="7.8"/>
  </r>
  <r>
    <s v="725-32-9708"/>
    <x v="2"/>
    <x v="2"/>
    <x v="0"/>
    <x v="0"/>
    <x v="5"/>
    <n v="68.709999999999994"/>
    <n v="4"/>
    <n v="13.742000000000001"/>
    <n v="288.58199999999999"/>
    <s v="1/4/2019"/>
    <d v="1899-12-30T19:01:00"/>
    <x v="1"/>
    <n v="274.83999999999997"/>
    <n v="4.7619047620000003"/>
    <n v="13.742000000000001"/>
    <n v="4.0999999999999996"/>
  </r>
  <r>
    <s v="256-08-8343"/>
    <x v="0"/>
    <x v="0"/>
    <x v="1"/>
    <x v="0"/>
    <x v="2"/>
    <n v="56.53"/>
    <n v="4"/>
    <n v="11.305999999999999"/>
    <n v="237.42599999999999"/>
    <s v="3/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1/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1/4/2019"/>
    <d v="1899-12-30T13:21:00"/>
    <x v="1"/>
    <n v="104.85"/>
    <n v="4.7619047620000003"/>
    <n v="5.2424999999999997"/>
    <n v="7.8"/>
  </r>
  <r>
    <s v="696-90-2548"/>
    <x v="0"/>
    <x v="0"/>
    <x v="1"/>
    <x v="1"/>
    <x v="3"/>
    <n v="25.84"/>
    <n v="3"/>
    <n v="3.8759999999999999"/>
    <n v="81.396000000000001"/>
    <s v="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1/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1/12/2019"/>
    <d v="1899-12-30T17:13:00"/>
    <x v="0"/>
    <n v="114.44"/>
    <n v="4.7619047620000003"/>
    <n v="5.7220000000000004"/>
    <n v="8.3000000000000007"/>
  </r>
  <r>
    <s v="745-71-3520"/>
    <x v="0"/>
    <x v="0"/>
    <x v="0"/>
    <x v="0"/>
    <x v="1"/>
    <n v="25.22"/>
    <n v="7"/>
    <n v="8.827"/>
    <n v="185.36699999999999"/>
    <s v="2/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2/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3/9/2019"/>
    <d v="1899-12-30T15:36:00"/>
    <x v="1"/>
    <n v="16.28"/>
    <n v="4.7619047620000003"/>
    <n v="0.81399999999999995"/>
    <n v="5"/>
  </r>
  <r>
    <s v="198-84-7132"/>
    <x v="2"/>
    <x v="2"/>
    <x v="0"/>
    <x v="1"/>
    <x v="5"/>
    <n v="40.61"/>
    <n v="9"/>
    <n v="18.2745"/>
    <n v="383.7645"/>
    <s v="1/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3/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3/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3/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3/8/2019"/>
    <d v="1899-12-30T15:37:00"/>
    <x v="2"/>
    <n v="203.94"/>
    <n v="4.7619047620000003"/>
    <n v="10.196999999999999"/>
    <n v="7.7"/>
  </r>
  <r>
    <s v="549-96-4200"/>
    <x v="1"/>
    <x v="1"/>
    <x v="0"/>
    <x v="1"/>
    <x v="4"/>
    <n v="17.04"/>
    <n v="4"/>
    <n v="3.4079999999999999"/>
    <n v="71.567999999999998"/>
    <s v="3/8/2019"/>
    <d v="1899-12-30T20:15:00"/>
    <x v="0"/>
    <n v="68.16"/>
    <n v="4.7619047620000003"/>
    <n v="3.4079999999999999"/>
    <n v="7"/>
  </r>
  <r>
    <s v="810-60-6344"/>
    <x v="1"/>
    <x v="1"/>
    <x v="1"/>
    <x v="0"/>
    <x v="1"/>
    <n v="40.86"/>
    <n v="8"/>
    <n v="16.344000000000001"/>
    <n v="343.22399999999999"/>
    <s v="2/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1/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3/10/2019"/>
    <d v="1899-12-30T17:38:00"/>
    <x v="2"/>
    <n v="137.22"/>
    <n v="4.7619047620000003"/>
    <n v="6.8609999999999998"/>
    <n v="6.5"/>
  </r>
  <r>
    <s v="296-11-7041"/>
    <x v="2"/>
    <x v="2"/>
    <x v="0"/>
    <x v="0"/>
    <x v="0"/>
    <n v="27.07"/>
    <n v="1"/>
    <n v="1.3534999999999999"/>
    <n v="28.423500000000001"/>
    <s v="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1/1/2019"/>
    <d v="1899-12-30T19:07:00"/>
    <x v="1"/>
    <n v="448.26"/>
    <n v="4.7619047620000003"/>
    <n v="22.413"/>
    <n v="6.7"/>
  </r>
  <r>
    <s v="744-09-5786"/>
    <x v="2"/>
    <x v="2"/>
    <x v="1"/>
    <x v="1"/>
    <x v="1"/>
    <n v="22.01"/>
    <n v="6"/>
    <n v="6.6029999999999998"/>
    <n v="138.66300000000001"/>
    <s v="1/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3/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2/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2/3/2019"/>
    <d v="1899-12-30T15:19:00"/>
    <x v="1"/>
    <n v="202.6"/>
    <n v="4.7619047620000003"/>
    <n v="10.130000000000001"/>
    <n v="4.5"/>
  </r>
  <r>
    <s v="234-03-4040"/>
    <x v="2"/>
    <x v="2"/>
    <x v="0"/>
    <x v="0"/>
    <x v="4"/>
    <n v="73.05"/>
    <n v="10"/>
    <n v="36.524999999999999"/>
    <n v="767.02499999999998"/>
    <s v="3/3/2019"/>
    <d v="1899-12-30T12:25:00"/>
    <x v="2"/>
    <n v="730.5"/>
    <n v="4.7619047620000003"/>
    <n v="36.524999999999999"/>
    <n v="8.6999999999999993"/>
  </r>
  <r>
    <s v="326-71-2155"/>
    <x v="1"/>
    <x v="1"/>
    <x v="1"/>
    <x v="0"/>
    <x v="3"/>
    <n v="73.95"/>
    <n v="4"/>
    <n v="14.79"/>
    <n v="310.58999999999997"/>
    <s v="2/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3/2/2019"/>
    <d v="1899-12-30T11:22:00"/>
    <x v="2"/>
    <n v="545.5"/>
    <n v="4.7619047620000003"/>
    <n v="27.274999999999999"/>
    <n v="7.1"/>
  </r>
  <r>
    <s v="440-59-5691"/>
    <x v="1"/>
    <x v="1"/>
    <x v="0"/>
    <x v="0"/>
    <x v="0"/>
    <n v="37.15"/>
    <n v="7"/>
    <n v="13.0025"/>
    <n v="273.05250000000001"/>
    <s v="2/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2/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2/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3/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2/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1/8/2019"/>
    <d v="1899-12-30T13:05:00"/>
    <x v="0"/>
    <n v="185.7"/>
    <n v="4.7619047620000003"/>
    <n v="9.2850000000000001"/>
    <n v="5"/>
  </r>
  <r>
    <s v="305-18-3552"/>
    <x v="2"/>
    <x v="2"/>
    <x v="0"/>
    <x v="1"/>
    <x v="2"/>
    <n v="60.38"/>
    <n v="10"/>
    <n v="30.19"/>
    <n v="633.99"/>
    <s v="2/12/2019"/>
    <d v="1899-12-30T16:19:00"/>
    <x v="1"/>
    <n v="603.79999999999995"/>
    <n v="4.7619047620000003"/>
    <n v="30.19"/>
    <n v="6"/>
  </r>
  <r>
    <s v="493-65-6248"/>
    <x v="1"/>
    <x v="1"/>
    <x v="0"/>
    <x v="0"/>
    <x v="3"/>
    <n v="36.979999999999997"/>
    <n v="10"/>
    <n v="18.489999999999998"/>
    <n v="388.29"/>
    <s v="1/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2/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3/5/2019"/>
    <d v="1899-12-30T20:24:00"/>
    <x v="0"/>
    <n v="202.56"/>
    <n v="4.7619047620000003"/>
    <n v="10.128"/>
    <n v="8.6999999999999993"/>
  </r>
  <r>
    <s v="148-82-2527"/>
    <x v="1"/>
    <x v="1"/>
    <x v="0"/>
    <x v="0"/>
    <x v="2"/>
    <n v="12.12"/>
    <n v="10"/>
    <n v="6.06"/>
    <n v="127.26"/>
    <s v="3/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1/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2/2/2019"/>
    <d v="1899-12-30T15:47:00"/>
    <x v="1"/>
    <n v="412.16"/>
    <n v="4.7619047620000003"/>
    <n v="20.608000000000001"/>
    <n v="9.6"/>
  </r>
  <r>
    <s v="277-63-2961"/>
    <x v="2"/>
    <x v="2"/>
    <x v="0"/>
    <x v="1"/>
    <x v="3"/>
    <n v="73.97"/>
    <n v="1"/>
    <n v="3.6985000000000001"/>
    <n v="77.668499999999995"/>
    <s v="2/3/2019"/>
    <d v="1899-12-30T15:53:00"/>
    <x v="2"/>
    <n v="73.97"/>
    <n v="4.7619047620000003"/>
    <n v="3.6985000000000001"/>
    <n v="5.4"/>
  </r>
  <r>
    <s v="573-98-8548"/>
    <x v="1"/>
    <x v="1"/>
    <x v="0"/>
    <x v="0"/>
    <x v="5"/>
    <n v="31.9"/>
    <n v="1"/>
    <n v="1.595"/>
    <n v="33.494999999999997"/>
    <s v="1/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1/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2/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1/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3/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2/6/2019"/>
    <d v="1899-12-30T13:55:00"/>
    <x v="2"/>
    <n v="224.64"/>
    <n v="4.7619047620000003"/>
    <n v="11.231999999999999"/>
    <n v="5.9"/>
  </r>
  <r>
    <s v="133-14-7229"/>
    <x v="1"/>
    <x v="1"/>
    <x v="1"/>
    <x v="1"/>
    <x v="0"/>
    <n v="62.87"/>
    <n v="2"/>
    <n v="6.2869999999999999"/>
    <n v="132.02699999999999"/>
    <s v="1/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2/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2/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3/11/2019"/>
    <d v="1899-12-30T13:28:00"/>
    <x v="0"/>
    <n v="141.6"/>
    <n v="4.7619047620000003"/>
    <n v="7.08"/>
    <n v="6.2"/>
  </r>
  <r>
    <s v="583-41-4548"/>
    <x v="1"/>
    <x v="1"/>
    <x v="1"/>
    <x v="1"/>
    <x v="2"/>
    <n v="16.670000000000002"/>
    <n v="7"/>
    <n v="5.8345000000000002"/>
    <n v="122.5245"/>
    <s v="2/7/2019"/>
    <d v="1899-12-30T11:36:00"/>
    <x v="0"/>
    <n v="116.69"/>
    <n v="4.7619047620000003"/>
    <n v="5.8345000000000002"/>
    <n v="7.4"/>
  </r>
  <r>
    <s v="339-12-4827"/>
    <x v="2"/>
    <x v="2"/>
    <x v="0"/>
    <x v="0"/>
    <x v="5"/>
    <n v="73.959999999999994"/>
    <n v="1"/>
    <n v="3.698"/>
    <n v="77.658000000000001"/>
    <s v="1/5/2019"/>
    <d v="1899-12-30T11:32:00"/>
    <x v="2"/>
    <n v="73.959999999999994"/>
    <n v="4.7619047620000003"/>
    <n v="3.698"/>
    <n v="5"/>
  </r>
  <r>
    <s v="643-38-7867"/>
    <x v="0"/>
    <x v="0"/>
    <x v="1"/>
    <x v="1"/>
    <x v="2"/>
    <n v="97.94"/>
    <n v="1"/>
    <n v="4.8970000000000002"/>
    <n v="102.837"/>
    <s v="3/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2/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1/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1/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1/12/2019"/>
    <d v="1899-12-30T16:23:00"/>
    <x v="0"/>
    <n v="294.2"/>
    <n v="4.7619047620000003"/>
    <n v="14.71"/>
    <n v="8.9"/>
  </r>
  <r>
    <s v="541-48-8554"/>
    <x v="0"/>
    <x v="0"/>
    <x v="1"/>
    <x v="1"/>
    <x v="3"/>
    <n v="60.95"/>
    <n v="9"/>
    <n v="27.427499999999998"/>
    <n v="575.97749999999996"/>
    <s v="1/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2/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2/5/2019"/>
    <d v="1899-12-30T12:34:00"/>
    <x v="1"/>
    <n v="524.16"/>
    <n v="4.7619047620000003"/>
    <n v="26.207999999999998"/>
    <n v="9.6999999999999993"/>
  </r>
  <r>
    <s v="399-69-4630"/>
    <x v="1"/>
    <x v="1"/>
    <x v="1"/>
    <x v="1"/>
    <x v="1"/>
    <n v="22.21"/>
    <n v="6"/>
    <n v="6.6630000000000003"/>
    <n v="139.923"/>
    <s v="3/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2/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1/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2/3/2019"/>
    <d v="1899-12-30T16:40:00"/>
    <x v="2"/>
    <n v="493.3"/>
    <n v="4.7619047620000003"/>
    <n v="24.664999999999999"/>
    <n v="9.4"/>
  </r>
  <r>
    <s v="651-88-7328"/>
    <x v="0"/>
    <x v="0"/>
    <x v="1"/>
    <x v="0"/>
    <x v="5"/>
    <n v="65.739999999999995"/>
    <n v="9"/>
    <n v="29.582999999999998"/>
    <n v="621.24300000000005"/>
    <s v="1/1/2019"/>
    <d v="1899-12-30T13:55:00"/>
    <x v="1"/>
    <n v="591.66"/>
    <n v="4.7619047620000003"/>
    <n v="29.582999999999998"/>
    <n v="7.7"/>
  </r>
  <r>
    <s v="241-11-2261"/>
    <x v="2"/>
    <x v="2"/>
    <x v="1"/>
    <x v="0"/>
    <x v="5"/>
    <n v="79.86"/>
    <n v="7"/>
    <n v="27.951000000000001"/>
    <n v="586.971"/>
    <s v="1/10/2019"/>
    <d v="1899-12-30T10:33:00"/>
    <x v="2"/>
    <n v="559.02"/>
    <n v="4.7619047620000003"/>
    <n v="27.951000000000001"/>
    <n v="5.5"/>
  </r>
  <r>
    <s v="408-26-9866"/>
    <x v="1"/>
    <x v="1"/>
    <x v="1"/>
    <x v="0"/>
    <x v="3"/>
    <n v="73.98"/>
    <n v="7"/>
    <n v="25.893000000000001"/>
    <n v="543.75300000000004"/>
    <s v="3/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3/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3/1/2019"/>
    <d v="1899-12-30T12:15:00"/>
    <x v="0"/>
    <n v="139.02000000000001"/>
    <n v="4.7619047620000003"/>
    <n v="6.9509999999999996"/>
    <n v="8.1"/>
  </r>
  <r>
    <s v="390-31-6381"/>
    <x v="1"/>
    <x v="1"/>
    <x v="1"/>
    <x v="1"/>
    <x v="4"/>
    <n v="27.22"/>
    <n v="3"/>
    <n v="4.0830000000000002"/>
    <n v="85.742999999999995"/>
    <s v="1/7/2019"/>
    <d v="1899-12-30T12:37:00"/>
    <x v="1"/>
    <n v="81.66"/>
    <n v="4.7619047620000003"/>
    <n v="4.0830000000000002"/>
    <n v="7.3"/>
  </r>
  <r>
    <s v="443-82-0585"/>
    <x v="0"/>
    <x v="0"/>
    <x v="0"/>
    <x v="0"/>
    <x v="0"/>
    <n v="77.680000000000007"/>
    <n v="4"/>
    <n v="15.536"/>
    <n v="326.25599999999997"/>
    <s v="2/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3/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2/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3/4/2019"/>
    <d v="1899-12-30T12:23:00"/>
    <x v="1"/>
    <n v="73.099999999999994"/>
    <n v="4.7619047620000003"/>
    <n v="3.6549999999999998"/>
    <n v="4.4000000000000004"/>
  </r>
  <r>
    <s v="302-15-2162"/>
    <x v="1"/>
    <x v="1"/>
    <x v="0"/>
    <x v="1"/>
    <x v="0"/>
    <n v="46.53"/>
    <n v="6"/>
    <n v="13.959"/>
    <n v="293.13900000000001"/>
    <s v="3/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2/7/2019"/>
    <d v="1899-12-30T14:13:00"/>
    <x v="1"/>
    <n v="45.58"/>
    <n v="4.7619047620000003"/>
    <n v="2.2789999999999999"/>
    <n v="9.8000000000000007"/>
  </r>
  <r>
    <s v="880-35-0356"/>
    <x v="0"/>
    <x v="0"/>
    <x v="0"/>
    <x v="0"/>
    <x v="3"/>
    <n v="75.2"/>
    <n v="3"/>
    <n v="11.28"/>
    <n v="236.88"/>
    <s v="2/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3/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1/8/2019"/>
    <d v="1899-12-30T20:08:00"/>
    <x v="1"/>
    <n v="363.23"/>
    <n v="4.7619047620000003"/>
    <n v="18.1615"/>
    <n v="4.5"/>
  </r>
  <r>
    <s v="830-58-2383"/>
    <x v="2"/>
    <x v="2"/>
    <x v="1"/>
    <x v="1"/>
    <x v="2"/>
    <n v="31.75"/>
    <n v="4"/>
    <n v="6.35"/>
    <n v="133.35"/>
    <s v="2/8/2019"/>
    <d v="1899-12-30T15:26:00"/>
    <x v="1"/>
    <n v="127"/>
    <n v="4.7619047620000003"/>
    <n v="6.35"/>
    <n v="8.6"/>
  </r>
  <r>
    <s v="559-98-9873"/>
    <x v="0"/>
    <x v="0"/>
    <x v="0"/>
    <x v="0"/>
    <x v="5"/>
    <n v="53.65"/>
    <n v="7"/>
    <n v="18.7775"/>
    <n v="394.32749999999999"/>
    <s v="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2/7/2019"/>
    <d v="1899-12-30T10:18:00"/>
    <x v="2"/>
    <n v="28.96"/>
    <n v="4.7619047620000003"/>
    <n v="1.448"/>
    <n v="6.2"/>
  </r>
  <r>
    <s v="277-35-5865"/>
    <x v="1"/>
    <x v="1"/>
    <x v="0"/>
    <x v="0"/>
    <x v="4"/>
    <n v="98.97"/>
    <n v="9"/>
    <n v="44.536499999999997"/>
    <n v="935.26649999999995"/>
    <s v="3/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2/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2/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3/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3/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3/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3/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2/3/2019"/>
    <d v="1899-12-30T17:24:00"/>
    <x v="1"/>
    <n v="727.8"/>
    <n v="4.7619047620000003"/>
    <n v="36.39"/>
    <n v="7.3"/>
  </r>
  <r>
    <s v="149-15-7606"/>
    <x v="2"/>
    <x v="2"/>
    <x v="0"/>
    <x v="1"/>
    <x v="3"/>
    <n v="37.32"/>
    <n v="9"/>
    <n v="16.794"/>
    <n v="352.67399999999998"/>
    <s v="3/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2/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2/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3/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3/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2/7/2019"/>
    <d v="1899-12-30T14:27:00"/>
    <x v="0"/>
    <n v="589.5"/>
    <n v="4.7619047620000003"/>
    <n v="29.475000000000001"/>
    <n v="8.1"/>
  </r>
  <r>
    <s v="130-67-4723"/>
    <x v="0"/>
    <x v="0"/>
    <x v="0"/>
    <x v="1"/>
    <x v="4"/>
    <n v="48.5"/>
    <n v="6"/>
    <n v="14.55"/>
    <n v="305.55"/>
    <s v="1/11/2019"/>
    <d v="1899-12-30T13:57:00"/>
    <x v="0"/>
    <n v="291"/>
    <n v="4.7619047620000003"/>
    <n v="14.55"/>
    <n v="9.4"/>
  </r>
  <r>
    <s v="528-87-5606"/>
    <x v="2"/>
    <x v="2"/>
    <x v="0"/>
    <x v="0"/>
    <x v="1"/>
    <n v="39.479999999999997"/>
    <n v="1"/>
    <n v="1.974"/>
    <n v="41.454000000000001"/>
    <s v="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1/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1/8/2019"/>
    <d v="1899-12-30T12:58:00"/>
    <x v="2"/>
    <n v="98.2"/>
    <n v="4.7619047620000003"/>
    <n v="4.91"/>
    <n v="6.4"/>
  </r>
  <r>
    <s v="767-97-4650"/>
    <x v="2"/>
    <x v="2"/>
    <x v="0"/>
    <x v="0"/>
    <x v="3"/>
    <n v="64.83"/>
    <n v="2"/>
    <n v="6.4829999999999997"/>
    <n v="136.143"/>
    <s v="1/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3/12/2019"/>
    <d v="1899-12-30T19:39:00"/>
    <x v="0"/>
    <n v="385.28"/>
    <n v="4.7619047620000003"/>
    <n v="19.263999999999999"/>
    <n v="5.2"/>
  </r>
  <r>
    <s v="689-05-1884"/>
    <x v="0"/>
    <x v="0"/>
    <x v="0"/>
    <x v="1"/>
    <x v="0"/>
    <n v="48.63"/>
    <n v="10"/>
    <n v="24.315000000000001"/>
    <n v="510.61500000000001"/>
    <s v="3/4/2019"/>
    <d v="1899-12-30T12:44:00"/>
    <x v="1"/>
    <n v="486.3"/>
    <n v="4.7619047620000003"/>
    <n v="24.315000000000001"/>
    <n v="8.8000000000000007"/>
  </r>
  <r>
    <s v="196-01-2849"/>
    <x v="1"/>
    <x v="1"/>
    <x v="0"/>
    <x v="0"/>
    <x v="5"/>
    <n v="73.38"/>
    <n v="7"/>
    <n v="25.683"/>
    <n v="539.34299999999996"/>
    <s v="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1/1/2019"/>
    <d v="1899-12-30T20:26:00"/>
    <x v="0"/>
    <n v="108.16"/>
    <n v="4.7619047620000003"/>
    <n v="5.4080000000000004"/>
    <n v="6.9"/>
  </r>
  <r>
    <s v="826-58-8051"/>
    <x v="2"/>
    <x v="2"/>
    <x v="1"/>
    <x v="1"/>
    <x v="2"/>
    <n v="62.19"/>
    <n v="4"/>
    <n v="12.438000000000001"/>
    <n v="261.19799999999998"/>
    <s v="1/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1/12/2019"/>
    <d v="1899-12-30T16:18:00"/>
    <x v="0"/>
    <n v="975"/>
    <n v="4.7619047620000003"/>
    <n v="48.75"/>
    <n v="8"/>
  </r>
  <r>
    <s v="626-43-7888"/>
    <x v="1"/>
    <x v="1"/>
    <x v="1"/>
    <x v="0"/>
    <x v="5"/>
    <n v="60.41"/>
    <n v="8"/>
    <n v="24.164000000000001"/>
    <n v="507.44400000000002"/>
    <s v="2/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1/6/2019"/>
    <d v="1899-12-30T11:18:00"/>
    <x v="1"/>
    <n v="724.23"/>
    <n v="4.7619047620000003"/>
    <n v="36.211500000000001"/>
    <n v="9.1999999999999993"/>
  </r>
  <r>
    <s v="640-48-5028"/>
    <x v="2"/>
    <x v="2"/>
    <x v="0"/>
    <x v="0"/>
    <x v="2"/>
    <n v="88.39"/>
    <n v="9"/>
    <n v="39.775500000000001"/>
    <n v="835.28549999999996"/>
    <s v="3/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2/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2/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2/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1/11/2019"/>
    <d v="1899-12-30T20:10:00"/>
    <x v="1"/>
    <n v="257.39"/>
    <n v="4.7619047620000003"/>
    <n v="12.8695"/>
    <n v="7.4"/>
  </r>
  <r>
    <s v="434-35-9162"/>
    <x v="2"/>
    <x v="2"/>
    <x v="0"/>
    <x v="1"/>
    <x v="4"/>
    <n v="23.34"/>
    <n v="4"/>
    <n v="4.6680000000000001"/>
    <n v="98.028000000000006"/>
    <s v="2/4/2019"/>
    <d v="1899-12-30T18:53:00"/>
    <x v="0"/>
    <n v="93.36"/>
    <n v="4.7619047620000003"/>
    <n v="4.6680000000000001"/>
    <n v="7.4"/>
  </r>
  <r>
    <s v="149-14-0304"/>
    <x v="1"/>
    <x v="1"/>
    <x v="0"/>
    <x v="0"/>
    <x v="0"/>
    <n v="28.5"/>
    <n v="8"/>
    <n v="11.4"/>
    <n v="239.4"/>
    <s v="2/6/2019"/>
    <d v="1899-12-30T14:24:00"/>
    <x v="1"/>
    <n v="228"/>
    <n v="4.7619047620000003"/>
    <n v="11.4"/>
    <n v="6.6"/>
  </r>
  <r>
    <s v="442-44-6497"/>
    <x v="1"/>
    <x v="1"/>
    <x v="0"/>
    <x v="1"/>
    <x v="2"/>
    <n v="55.57"/>
    <n v="3"/>
    <n v="8.3354999999999997"/>
    <n v="175.0455"/>
    <s v="1/8/2019"/>
    <d v="1899-12-30T11:42:00"/>
    <x v="2"/>
    <n v="166.71"/>
    <n v="4.7619047620000003"/>
    <n v="8.3354999999999997"/>
    <n v="5.9"/>
  </r>
  <r>
    <s v="174-64-0215"/>
    <x v="2"/>
    <x v="2"/>
    <x v="1"/>
    <x v="1"/>
    <x v="3"/>
    <n v="69.739999999999995"/>
    <n v="10"/>
    <n v="34.869999999999997"/>
    <n v="732.27"/>
    <s v="3/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3/9/2019"/>
    <d v="1899-12-30T10:54:00"/>
    <x v="1"/>
    <n v="365.26"/>
    <n v="4.7619047620000003"/>
    <n v="18.263000000000002"/>
    <n v="9.3000000000000007"/>
  </r>
  <r>
    <s v="247-11-2470"/>
    <x v="0"/>
    <x v="0"/>
    <x v="0"/>
    <x v="0"/>
    <x v="5"/>
    <n v="22.32"/>
    <n v="4"/>
    <n v="4.4640000000000004"/>
    <n v="93.744"/>
    <s v="3/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2/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3/1/2019"/>
    <d v="1899-12-30T20:03:00"/>
    <x v="0"/>
    <n v="53.72"/>
    <n v="4.7619047620000003"/>
    <n v="2.6859999999999999"/>
    <n v="6.4"/>
  </r>
  <r>
    <s v="607-65-2441"/>
    <x v="1"/>
    <x v="1"/>
    <x v="0"/>
    <x v="1"/>
    <x v="0"/>
    <n v="81.95"/>
    <n v="10"/>
    <n v="40.975000000000001"/>
    <n v="860.47500000000002"/>
    <s v="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1/2/2019"/>
    <d v="1899-12-30T16:19:00"/>
    <x v="2"/>
    <n v="253.36"/>
    <n v="4.7619047620000003"/>
    <n v="12.667999999999999"/>
    <n v="5.6"/>
  </r>
  <r>
    <s v="390-17-5806"/>
    <x v="1"/>
    <x v="1"/>
    <x v="0"/>
    <x v="0"/>
    <x v="4"/>
    <n v="38.42"/>
    <n v="1"/>
    <n v="1.921"/>
    <n v="40.341000000000001"/>
    <s v="2/2/2019"/>
    <d v="1899-12-30T16:33:00"/>
    <x v="1"/>
    <n v="38.42"/>
    <n v="4.7619047620000003"/>
    <n v="1.921"/>
    <n v="8.6"/>
  </r>
  <r>
    <s v="457-13-1708"/>
    <x v="2"/>
    <x v="2"/>
    <x v="0"/>
    <x v="1"/>
    <x v="5"/>
    <n v="65.23"/>
    <n v="10"/>
    <n v="32.615000000000002"/>
    <n v="684.91499999999996"/>
    <s v="1/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2/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3/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3/5/2019"/>
    <d v="1899-12-30T19:40:00"/>
    <x v="0"/>
    <n v="763.68"/>
    <n v="4.7619047620000003"/>
    <n v="38.183999999999997"/>
    <n v="4.7"/>
  </r>
  <r>
    <s v="801-88-0346"/>
    <x v="1"/>
    <x v="1"/>
    <x v="1"/>
    <x v="0"/>
    <x v="5"/>
    <n v="76.06"/>
    <n v="3"/>
    <n v="11.409000000000001"/>
    <n v="239.589"/>
    <s v="1/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2/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3/5/2019"/>
    <d v="1899-12-30T18:02:00"/>
    <x v="2"/>
    <n v="457.17"/>
    <n v="4.7619047620000003"/>
    <n v="22.858499999999999"/>
    <n v="4.2"/>
  </r>
  <r>
    <s v="875-31-8302"/>
    <x v="2"/>
    <x v="2"/>
    <x v="1"/>
    <x v="1"/>
    <x v="3"/>
    <n v="93.38"/>
    <n v="1"/>
    <n v="4.6689999999999996"/>
    <n v="98.049000000000007"/>
    <s v="1/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2/11/2019"/>
    <d v="1899-12-30T16:06:00"/>
    <x v="0"/>
    <n v="379.04"/>
    <n v="4.7619047620000003"/>
    <n v="18.952000000000002"/>
    <n v="7.8"/>
  </r>
  <r>
    <s v="307-04-2070"/>
    <x v="0"/>
    <x v="0"/>
    <x v="0"/>
    <x v="0"/>
    <x v="5"/>
    <n v="30.62"/>
    <n v="1"/>
    <n v="1.5309999999999999"/>
    <n v="32.151000000000003"/>
    <s v="2/5/2019"/>
    <d v="1899-12-30T14:14:00"/>
    <x v="2"/>
    <n v="30.62"/>
    <n v="4.7619047620000003"/>
    <n v="1.5309999999999999"/>
    <n v="4.0999999999999996"/>
  </r>
  <r>
    <s v="468-99-7231"/>
    <x v="1"/>
    <x v="1"/>
    <x v="1"/>
    <x v="0"/>
    <x v="2"/>
    <n v="44.01"/>
    <n v="8"/>
    <n v="17.603999999999999"/>
    <n v="369.68400000000003"/>
    <s v="3/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2/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3/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2/11/2019"/>
    <d v="1899-12-30T18:38:00"/>
    <x v="0"/>
    <n v="433.45"/>
    <n v="4.7619047620000003"/>
    <n v="21.672499999999999"/>
    <n v="9.4"/>
  </r>
  <r>
    <s v="751-15-6198"/>
    <x v="2"/>
    <x v="2"/>
    <x v="1"/>
    <x v="1"/>
    <x v="3"/>
    <n v="23.01"/>
    <n v="6"/>
    <n v="6.9029999999999996"/>
    <n v="144.96299999999999"/>
    <s v="1/12/2019"/>
    <d v="1899-12-30T16:45:00"/>
    <x v="0"/>
    <n v="138.06"/>
    <n v="4.7619047620000003"/>
    <n v="6.9029999999999996"/>
    <n v="7.9"/>
  </r>
  <r>
    <s v="324-41-6833"/>
    <x v="1"/>
    <x v="1"/>
    <x v="0"/>
    <x v="0"/>
    <x v="1"/>
    <n v="30.2"/>
    <n v="8"/>
    <n v="12.08"/>
    <n v="253.68"/>
    <s v="3/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3/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1/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2/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2/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2/7/2019"/>
    <d v="1899-12-30T14:15:00"/>
    <x v="1"/>
    <n v="10.17"/>
    <n v="4.7619047620000003"/>
    <n v="0.50849999999999995"/>
    <n v="5.9"/>
  </r>
  <r>
    <s v="276-75-6884"/>
    <x v="0"/>
    <x v="0"/>
    <x v="1"/>
    <x v="0"/>
    <x v="0"/>
    <n v="68.709999999999994"/>
    <n v="3"/>
    <n v="10.3065"/>
    <n v="216.4365"/>
    <s v="3/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1/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1/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1/9/2019"/>
    <d v="1899-12-30T13:34:00"/>
    <x v="0"/>
    <n v="192.7"/>
    <n v="4.7619047620000003"/>
    <n v="9.6349999999999998"/>
    <n v="5.6"/>
  </r>
  <r>
    <s v="670-71-7306"/>
    <x v="2"/>
    <x v="2"/>
    <x v="1"/>
    <x v="1"/>
    <x v="3"/>
    <n v="44.63"/>
    <n v="6"/>
    <n v="13.388999999999999"/>
    <n v="281.16899999999998"/>
    <s v="1/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1/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3/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1/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1/1/2019"/>
    <d v="1899-12-30T19:31:00"/>
    <x v="1"/>
    <n v="168.96"/>
    <n v="4.7619047620000003"/>
    <n v="8.4480000000000004"/>
    <n v="6.3"/>
  </r>
  <r>
    <s v="748-45-2862"/>
    <x v="0"/>
    <x v="0"/>
    <x v="0"/>
    <x v="0"/>
    <x v="2"/>
    <n v="28.31"/>
    <n v="4"/>
    <n v="5.6619999999999999"/>
    <n v="118.902"/>
    <s v="3/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1/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1/12/2019"/>
    <d v="1899-12-30T11:42:00"/>
    <x v="1"/>
    <n v="357.49"/>
    <n v="4.7619047620000003"/>
    <n v="17.874500000000001"/>
    <n v="7"/>
  </r>
  <r>
    <s v="124-31-1458"/>
    <x v="0"/>
    <x v="0"/>
    <x v="0"/>
    <x v="0"/>
    <x v="1"/>
    <n v="79.59"/>
    <n v="3"/>
    <n v="11.938499999999999"/>
    <n v="250.70849999999999"/>
    <s v="1/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1/8/2019"/>
    <d v="1899-12-30T19:09:00"/>
    <x v="2"/>
    <n v="72.930000000000007"/>
    <n v="4.7619047620000003"/>
    <n v="3.6465000000000001"/>
    <n v="4.3"/>
  </r>
  <r>
    <s v="852-82-2749"/>
    <x v="0"/>
    <x v="0"/>
    <x v="1"/>
    <x v="1"/>
    <x v="3"/>
    <n v="64.59"/>
    <n v="4"/>
    <n v="12.917999999999999"/>
    <n v="271.27800000000002"/>
    <s v="1/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1/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2/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2/7/2019"/>
    <d v="1899-12-30T15:06:00"/>
    <x v="1"/>
    <n v="463.28"/>
    <n v="4.7619047620000003"/>
    <n v="23.164000000000001"/>
    <n v="8.1"/>
  </r>
  <r>
    <s v="607-76-6216"/>
    <x v="1"/>
    <x v="1"/>
    <x v="0"/>
    <x v="0"/>
    <x v="5"/>
    <n v="92.49"/>
    <n v="5"/>
    <n v="23.122499999999999"/>
    <n v="485.57249999999999"/>
    <s v="3/2/2019"/>
    <d v="1899-12-30T16:35:00"/>
    <x v="2"/>
    <n v="462.45"/>
    <n v="4.7619047620000003"/>
    <n v="23.122499999999999"/>
    <n v="8.6"/>
  </r>
  <r>
    <s v="715-20-1673"/>
    <x v="2"/>
    <x v="2"/>
    <x v="1"/>
    <x v="1"/>
    <x v="1"/>
    <n v="28.38"/>
    <n v="5"/>
    <n v="7.0949999999999998"/>
    <n v="148.995"/>
    <s v="3/6/2019"/>
    <d v="1899-12-30T20:57:00"/>
    <x v="1"/>
    <n v="141.9"/>
    <n v="4.7619047620000003"/>
    <n v="7.0949999999999998"/>
    <n v="9.4"/>
  </r>
  <r>
    <s v="811-35-1094"/>
    <x v="2"/>
    <x v="2"/>
    <x v="0"/>
    <x v="1"/>
    <x v="1"/>
    <n v="50.45"/>
    <n v="6"/>
    <n v="15.135"/>
    <n v="317.83499999999998"/>
    <s v="2/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2/5/2019"/>
    <d v="1899-12-30T10:17:00"/>
    <x v="1"/>
    <n v="283.62"/>
    <n v="4.7619047620000003"/>
    <n v="14.180999999999999"/>
    <n v="8.8000000000000007"/>
  </r>
  <r>
    <s v="725-54-0677"/>
    <x v="1"/>
    <x v="1"/>
    <x v="0"/>
    <x v="1"/>
    <x v="0"/>
    <n v="85.6"/>
    <n v="7"/>
    <n v="29.96"/>
    <n v="629.16"/>
    <s v="3/2/2019"/>
    <d v="1899-12-30T13:50:00"/>
    <x v="1"/>
    <n v="599.20000000000005"/>
    <n v="4.7619047620000003"/>
    <n v="29.96"/>
    <n v="5.3"/>
  </r>
  <r>
    <s v="146-09-5432"/>
    <x v="0"/>
    <x v="0"/>
    <x v="0"/>
    <x v="1"/>
    <x v="4"/>
    <n v="35.04"/>
    <n v="9"/>
    <n v="15.768000000000001"/>
    <n v="331.12799999999999"/>
    <s v="2/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2/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2/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2/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2/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3/2/2019"/>
    <d v="1899-12-30T12:36:00"/>
    <x v="0"/>
    <n v="78.78"/>
    <n v="4.7619047620000003"/>
    <n v="3.9390000000000001"/>
    <n v="6.3"/>
  </r>
  <r>
    <s v="246-55-6923"/>
    <x v="1"/>
    <x v="1"/>
    <x v="0"/>
    <x v="0"/>
    <x v="2"/>
    <n v="35.79"/>
    <n v="9"/>
    <n v="16.105499999999999"/>
    <n v="338.21550000000002"/>
    <s v="3/10/2019"/>
    <d v="1899-12-30T15:06:00"/>
    <x v="2"/>
    <n v="322.11"/>
    <n v="4.7619047620000003"/>
    <n v="16.105499999999999"/>
    <n v="5.0999999999999996"/>
  </r>
  <r>
    <s v="181-82-6255"/>
    <x v="2"/>
    <x v="2"/>
    <x v="1"/>
    <x v="0"/>
    <x v="2"/>
    <n v="16.37"/>
    <n v="6"/>
    <n v="4.9109999999999996"/>
    <n v="103.131"/>
    <s v="2/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3/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2/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1/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1/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3/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1/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2/3/2019"/>
    <d v="1899-12-30T20:13:00"/>
    <x v="0"/>
    <n v="53.78"/>
    <n v="4.7619047620000003"/>
    <n v="2.6890000000000001"/>
    <n v="4.7"/>
  </r>
  <r>
    <s v="373-88-1424"/>
    <x v="1"/>
    <x v="1"/>
    <x v="0"/>
    <x v="1"/>
    <x v="2"/>
    <n v="35.81"/>
    <n v="5"/>
    <n v="8.9525000000000006"/>
    <n v="188.0025"/>
    <s v="2/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1/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2/9/2019"/>
    <d v="1899-12-30T11:45:00"/>
    <x v="1"/>
    <n v="395.46"/>
    <n v="4.7619047620000003"/>
    <n v="19.773"/>
    <n v="5.7"/>
  </r>
  <r>
    <s v="846-10-0341"/>
    <x v="0"/>
    <x v="0"/>
    <x v="1"/>
    <x v="0"/>
    <x v="5"/>
    <n v="42.57"/>
    <n v="7"/>
    <n v="14.8995"/>
    <n v="312.8895"/>
    <s v="1/6/2019"/>
    <d v="1899-12-30T11:51:00"/>
    <x v="1"/>
    <n v="297.99"/>
    <n v="4.7619047620000003"/>
    <n v="14.8995"/>
    <n v="6.8"/>
  </r>
  <r>
    <s v="577-34-7579"/>
    <x v="1"/>
    <x v="1"/>
    <x v="0"/>
    <x v="1"/>
    <x v="4"/>
    <n v="50.49"/>
    <n v="9"/>
    <n v="22.720500000000001"/>
    <n v="477.13049999999998"/>
    <s v="1/10/2019"/>
    <d v="1899-12-30T17:16:00"/>
    <x v="1"/>
    <n v="454.41"/>
    <n v="4.7619047620000003"/>
    <n v="22.720500000000001"/>
    <n v="5.4"/>
  </r>
  <r>
    <s v="430-02-3888"/>
    <x v="2"/>
    <x v="2"/>
    <x v="1"/>
    <x v="1"/>
    <x v="1"/>
    <n v="46.02"/>
    <n v="6"/>
    <n v="13.805999999999999"/>
    <n v="289.92599999999999"/>
    <s v="2/7/2019"/>
    <d v="1899-12-30T15:55:00"/>
    <x v="1"/>
    <n v="276.12"/>
    <n v="4.7619047620000003"/>
    <n v="13.805999999999999"/>
    <n v="7.1"/>
  </r>
  <r>
    <s v="867-47-1948"/>
    <x v="1"/>
    <x v="1"/>
    <x v="1"/>
    <x v="0"/>
    <x v="2"/>
    <n v="15.8"/>
    <n v="10"/>
    <n v="7.9"/>
    <n v="165.9"/>
    <s v="1/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2/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3/2/2019"/>
    <d v="1899-12-30T18:18:00"/>
    <x v="2"/>
    <n v="76.540000000000006"/>
    <n v="4.7619047620000003"/>
    <n v="3.827"/>
    <n v="5.8"/>
  </r>
  <r>
    <s v="558-60-5016"/>
    <x v="0"/>
    <x v="0"/>
    <x v="1"/>
    <x v="0"/>
    <x v="2"/>
    <n v="33.299999999999997"/>
    <n v="9"/>
    <n v="14.984999999999999"/>
    <n v="314.685"/>
    <s v="3/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3/11/2019"/>
    <d v="1899-12-30T19:44:00"/>
    <x v="2"/>
    <n v="172.45"/>
    <n v="4.7619047620000003"/>
    <n v="8.6225000000000005"/>
    <n v="9"/>
  </r>
  <r>
    <s v="746-04-1077"/>
    <x v="2"/>
    <x v="2"/>
    <x v="0"/>
    <x v="0"/>
    <x v="4"/>
    <n v="84.63"/>
    <n v="10"/>
    <n v="42.314999999999998"/>
    <n v="888.61500000000001"/>
    <s v="1/1/2019"/>
    <d v="1899-12-30T11:36:00"/>
    <x v="2"/>
    <n v="846.3"/>
    <n v="4.7619047620000003"/>
    <n v="42.314999999999998"/>
    <n v="9"/>
  </r>
  <r>
    <s v="448-34-8700"/>
    <x v="2"/>
    <x v="2"/>
    <x v="0"/>
    <x v="1"/>
    <x v="2"/>
    <n v="36.909999999999997"/>
    <n v="7"/>
    <n v="12.9185"/>
    <n v="271.2885"/>
    <s v="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2/11/2019"/>
    <d v="1899-12-30T15:29:00"/>
    <x v="1"/>
    <n v="240.24"/>
    <n v="4.7619047620000003"/>
    <n v="12.012"/>
    <n v="5.4"/>
  </r>
  <r>
    <s v="744-82-9138"/>
    <x v="1"/>
    <x v="1"/>
    <x v="1"/>
    <x v="1"/>
    <x v="5"/>
    <n v="86.13"/>
    <n v="2"/>
    <n v="8.6129999999999995"/>
    <n v="180.87299999999999"/>
    <s v="2/7/2019"/>
    <d v="1899-12-30T17:59:00"/>
    <x v="1"/>
    <n v="172.26"/>
    <n v="4.7619047620000003"/>
    <n v="8.6129999999999995"/>
    <n v="8.1999999999999993"/>
  </r>
  <r>
    <s v="883-69-1285"/>
    <x v="2"/>
    <x v="2"/>
    <x v="0"/>
    <x v="1"/>
    <x v="5"/>
    <n v="49.92"/>
    <n v="2"/>
    <n v="4.992"/>
    <n v="104.83199999999999"/>
    <s v="3/6/2019"/>
    <d v="1899-12-30T11:55:00"/>
    <x v="2"/>
    <n v="99.84"/>
    <n v="4.7619047620000003"/>
    <n v="4.992"/>
    <n v="7"/>
  </r>
  <r>
    <s v="221-25-5073"/>
    <x v="0"/>
    <x v="0"/>
    <x v="1"/>
    <x v="0"/>
    <x v="4"/>
    <n v="74.66"/>
    <n v="4"/>
    <n v="14.932"/>
    <n v="313.572"/>
    <s v="3/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3/10/2019"/>
    <d v="1899-12-30T18:10:00"/>
    <x v="2"/>
    <n v="25.45"/>
    <n v="4.7619047620000003"/>
    <n v="1.2725"/>
    <n v="5.0999999999999996"/>
  </r>
  <r>
    <s v="151-33-7434"/>
    <x v="2"/>
    <x v="2"/>
    <x v="1"/>
    <x v="0"/>
    <x v="4"/>
    <n v="67.77"/>
    <n v="1"/>
    <n v="3.3885000000000001"/>
    <n v="71.158500000000004"/>
    <s v="2/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1/9/2019"/>
    <d v="1899-12-30T11:40:00"/>
    <x v="1"/>
    <n v="674.59"/>
    <n v="4.7619047620000003"/>
    <n v="33.729500000000002"/>
    <n v="6"/>
  </r>
  <r>
    <s v="374-38-5555"/>
    <x v="2"/>
    <x v="2"/>
    <x v="1"/>
    <x v="0"/>
    <x v="5"/>
    <n v="63.71"/>
    <n v="5"/>
    <n v="15.9275"/>
    <n v="334.47750000000002"/>
    <s v="2/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1/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3/2/2019"/>
    <d v="1899-12-30T17:16:00"/>
    <x v="0"/>
    <n v="973.8"/>
    <n v="4.7619047620000003"/>
    <n v="48.69"/>
    <n v="4.4000000000000004"/>
  </r>
  <r>
    <s v="727-02-1313"/>
    <x v="0"/>
    <x v="0"/>
    <x v="0"/>
    <x v="1"/>
    <x v="4"/>
    <n v="31.84"/>
    <n v="1"/>
    <n v="1.5920000000000001"/>
    <n v="33.432000000000002"/>
    <s v="2/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s v="303-96-2227"/>
    <s v="B"/>
    <s v="Mandalay"/>
    <x v="0"/>
    <s v="Female"/>
    <s v="Home and lifestyle"/>
    <n v="97.38"/>
    <n v="10"/>
    <n v="48.69"/>
    <n v="1022.49"/>
    <s v="3/2/2019"/>
    <d v="1899-12-30T17:16:00"/>
    <s v="Ewallet"/>
    <n v="973.8"/>
    <n v="4.7619047620000003"/>
    <n v="48.69"/>
    <n v="4.4000000000000004"/>
  </r>
  <r>
    <s v="690-01-6631"/>
    <s v="B"/>
    <s v="Mandalay"/>
    <x v="0"/>
    <s v="Male"/>
    <s v="Fashion accessories"/>
    <n v="17.489999999999998"/>
    <n v="10"/>
    <n v="8.7449999999999992"/>
    <n v="183.64500000000001"/>
    <s v="2/22/2019"/>
    <d v="1899-12-30T18:35:00"/>
    <s v="Ewallet"/>
    <n v="174.9"/>
    <n v="4.7619047620000003"/>
    <n v="8.7449999999999992"/>
    <n v="6.6"/>
  </r>
  <r>
    <s v="602-16-6955"/>
    <s v="B"/>
    <s v="Mandalay"/>
    <x v="0"/>
    <s v="Female"/>
    <s v="Sports and travel"/>
    <n v="76.599999999999994"/>
    <n v="10"/>
    <n v="38.299999999999997"/>
    <n v="804.3"/>
    <s v="1/24/2019"/>
    <d v="1899-12-30T18:10:00"/>
    <s v="Ewallet"/>
    <n v="766"/>
    <n v="4.7619047620000003"/>
    <n v="38.299999999999997"/>
    <n v="6"/>
  </r>
  <r>
    <s v="430-53-4718"/>
    <s v="B"/>
    <s v="Mandalay"/>
    <x v="1"/>
    <s v="Male"/>
    <s v="Health and beauty"/>
    <n v="75.37"/>
    <n v="8"/>
    <n v="30.148"/>
    <n v="633.10799999999995"/>
    <s v="1/28/2019"/>
    <d v="1899-12-30T15:46:00"/>
    <s v="Credit card"/>
    <n v="602.96"/>
    <n v="4.7619047620000003"/>
    <n v="30.148"/>
    <n v="8.4"/>
  </r>
  <r>
    <s v="552-44-5977"/>
    <s v="B"/>
    <s v="Mandalay"/>
    <x v="1"/>
    <s v="Male"/>
    <s v="Health and beauty"/>
    <n v="62"/>
    <n v="8"/>
    <n v="24.8"/>
    <n v="520.79999999999995"/>
    <s v="1/3/2019"/>
    <d v="1899-12-30T19:08:00"/>
    <s v="Credit card"/>
    <n v="496"/>
    <n v="4.7619047620000003"/>
    <n v="24.8"/>
    <n v="6.2"/>
  </r>
  <r>
    <s v="764-44-8999"/>
    <s v="B"/>
    <s v="Mandalay"/>
    <x v="0"/>
    <s v="Female"/>
    <s v="Health and beauty"/>
    <n v="14.76"/>
    <n v="2"/>
    <n v="1.476"/>
    <n v="30.995999999999999"/>
    <s v="2/18/2019"/>
    <d v="1899-12-30T14:42:00"/>
    <s v="Ewallet"/>
    <n v="29.52"/>
    <n v="4.7619047620000003"/>
    <n v="1.476"/>
    <n v="4.3"/>
  </r>
  <r>
    <s v="374-38-5555"/>
    <s v="B"/>
    <s v="Mandalay"/>
    <x v="0"/>
    <s v="Female"/>
    <s v="Fashion accessories"/>
    <n v="63.71"/>
    <n v="5"/>
    <n v="15.9275"/>
    <n v="334.47750000000002"/>
    <s v="2/7/2019"/>
    <d v="1899-12-30T19:30:00"/>
    <s v="Ewallet"/>
    <n v="318.55"/>
    <n v="4.7619047620000003"/>
    <n v="15.9275"/>
    <n v="8.5"/>
  </r>
  <r>
    <s v="151-33-7434"/>
    <s v="B"/>
    <s v="Mandalay"/>
    <x v="0"/>
    <s v="Female"/>
    <s v="Food and beverages"/>
    <n v="67.77"/>
    <n v="1"/>
    <n v="3.3885000000000001"/>
    <n v="71.158500000000004"/>
    <s v="2/4/2019"/>
    <d v="1899-12-30T20:43:00"/>
    <s v="Credit card"/>
    <n v="67.77"/>
    <n v="4.7619047620000003"/>
    <n v="3.3885000000000001"/>
    <n v="6.5"/>
  </r>
  <r>
    <s v="156-20-0370"/>
    <s v="B"/>
    <s v="Mandalay"/>
    <x v="0"/>
    <s v="Female"/>
    <s v="Electronic accessories"/>
    <n v="25.45"/>
    <n v="1"/>
    <n v="1.2725"/>
    <n v="26.7225"/>
    <s v="3/10/2019"/>
    <d v="1899-12-30T18:10:00"/>
    <s v="Credit card"/>
    <n v="25.45"/>
    <n v="4.7619047620000003"/>
    <n v="1.2725"/>
    <n v="5.0999999999999996"/>
  </r>
  <r>
    <s v="692-92-5582"/>
    <s v="B"/>
    <s v="Mandalay"/>
    <x v="1"/>
    <s v="Female"/>
    <s v="Food and beverages"/>
    <n v="54.84"/>
    <n v="3"/>
    <n v="8.2260000000000009"/>
    <n v="172.74600000000001"/>
    <s v="2/20/2019"/>
    <d v="1899-12-30T13:27:00"/>
    <s v="Credit card"/>
    <n v="164.52"/>
    <n v="4.7619047620000003"/>
    <n v="8.2260000000000009"/>
    <n v="5.9"/>
  </r>
  <r>
    <s v="351-62-0822"/>
    <s v="B"/>
    <s v="Mandalay"/>
    <x v="1"/>
    <s v="Female"/>
    <s v="Fashion accessories"/>
    <n v="14.48"/>
    <n v="4"/>
    <n v="2.8959999999999999"/>
    <n v="60.816000000000003"/>
    <s v="2/6/2019"/>
    <d v="1899-12-30T18:07:00"/>
    <s v="Ewallet"/>
    <n v="57.92"/>
    <n v="4.7619047620000003"/>
    <n v="2.8959999999999999"/>
    <n v="4.5"/>
  </r>
  <r>
    <s v="529-56-3974"/>
    <s v="B"/>
    <s v="Mandalay"/>
    <x v="1"/>
    <s v="Male"/>
    <s v="Electronic accessories"/>
    <n v="25.51"/>
    <n v="4"/>
    <n v="5.1020000000000003"/>
    <n v="107.142"/>
    <s v="3/9/2019"/>
    <d v="1899-12-30T17:03:00"/>
    <s v="Cash"/>
    <n v="102.04"/>
    <n v="4.7619047620000003"/>
    <n v="5.1020000000000003"/>
    <n v="6.8"/>
  </r>
  <r>
    <s v="518-71-6847"/>
    <s v="B"/>
    <s v="Mandalay"/>
    <x v="1"/>
    <s v="Male"/>
    <s v="Food and beverages"/>
    <n v="26.6"/>
    <n v="6"/>
    <n v="7.98"/>
    <n v="167.58"/>
    <s v="2/26/2019"/>
    <d v="1899-12-30T15:10:00"/>
    <s v="Ewallet"/>
    <n v="159.6"/>
    <n v="4.7619047620000003"/>
    <n v="7.98"/>
    <n v="4.9000000000000004"/>
  </r>
  <r>
    <s v="883-69-1285"/>
    <s v="B"/>
    <s v="Mandalay"/>
    <x v="1"/>
    <s v="Male"/>
    <s v="Fashion accessories"/>
    <n v="49.92"/>
    <n v="2"/>
    <n v="4.992"/>
    <n v="104.83199999999999"/>
    <s v="3/6/2019"/>
    <d v="1899-12-30T11:55:00"/>
    <s v="Credit card"/>
    <n v="99.84"/>
    <n v="4.7619047620000003"/>
    <n v="4.992"/>
    <n v="7"/>
  </r>
  <r>
    <s v="452-04-8808"/>
    <s v="B"/>
    <s v="Mandalay"/>
    <x v="0"/>
    <s v="Male"/>
    <s v="Electronic accessories"/>
    <n v="87.08"/>
    <n v="7"/>
    <n v="30.478000000000002"/>
    <n v="640.03800000000001"/>
    <s v="1/26/2019"/>
    <d v="1899-12-30T15:17:00"/>
    <s v="Cash"/>
    <n v="609.55999999999995"/>
    <n v="4.7619047620000003"/>
    <n v="30.478000000000002"/>
    <n v="5.5"/>
  </r>
  <r>
    <s v="299-46-1805"/>
    <s v="B"/>
    <s v="Mandalay"/>
    <x v="1"/>
    <s v="Female"/>
    <s v="Sports and travel"/>
    <n v="93.72"/>
    <n v="6"/>
    <n v="28.116"/>
    <n v="590.43600000000004"/>
    <s v="1/15/2019"/>
    <d v="1899-12-30T16:19:00"/>
    <s v="Cash"/>
    <n v="562.32000000000005"/>
    <n v="4.7619047620000003"/>
    <n v="28.116"/>
    <n v="4.5"/>
  </r>
  <r>
    <s v="448-34-8700"/>
    <s v="B"/>
    <s v="Mandalay"/>
    <x v="1"/>
    <s v="Male"/>
    <s v="Home and lifestyle"/>
    <n v="36.909999999999997"/>
    <n v="7"/>
    <n v="12.9185"/>
    <n v="271.2885"/>
    <s v="2/10/2019"/>
    <d v="1899-12-30T13:51:00"/>
    <s v="Ewallet"/>
    <n v="258.37"/>
    <n v="4.7619047620000003"/>
    <n v="12.9185"/>
    <n v="6.7"/>
  </r>
  <r>
    <s v="746-04-1077"/>
    <s v="B"/>
    <s v="Mandalay"/>
    <x v="1"/>
    <s v="Female"/>
    <s v="Food and beverages"/>
    <n v="84.63"/>
    <n v="10"/>
    <n v="42.314999999999998"/>
    <n v="888.61500000000001"/>
    <s v="1/1/2019"/>
    <d v="1899-12-30T11:36:00"/>
    <s v="Credit card"/>
    <n v="846.3"/>
    <n v="4.7619047620000003"/>
    <n v="42.314999999999998"/>
    <n v="9"/>
  </r>
  <r>
    <s v="214-30-2776"/>
    <s v="B"/>
    <s v="Mandalay"/>
    <x v="1"/>
    <s v="Female"/>
    <s v="Electronic accessories"/>
    <n v="34.49"/>
    <n v="5"/>
    <n v="8.6225000000000005"/>
    <n v="181.07249999999999"/>
    <s v="3/11/2019"/>
    <d v="1899-12-30T19:44:00"/>
    <s v="Credit card"/>
    <n v="172.45"/>
    <n v="4.7619047620000003"/>
    <n v="8.6225000000000005"/>
    <n v="9"/>
  </r>
  <r>
    <s v="319-50-3348"/>
    <s v="B"/>
    <s v="Mandalay"/>
    <x v="0"/>
    <s v="Female"/>
    <s v="Home and lifestyle"/>
    <n v="40.299999999999997"/>
    <n v="2"/>
    <n v="4.03"/>
    <n v="84.63"/>
    <s v="3/11/2019"/>
    <d v="1899-12-30T15:30:00"/>
    <s v="Ewallet"/>
    <n v="80.599999999999994"/>
    <n v="4.7619047620000003"/>
    <n v="4.03"/>
    <n v="4.4000000000000004"/>
  </r>
  <r>
    <s v="172-42-8274"/>
    <s v="B"/>
    <s v="Mandalay"/>
    <x v="0"/>
    <s v="Female"/>
    <s v="Electronic accessories"/>
    <n v="38.270000000000003"/>
    <n v="2"/>
    <n v="3.827"/>
    <n v="80.367000000000004"/>
    <s v="3/2/2019"/>
    <d v="1899-12-30T18:18:00"/>
    <s v="Credit card"/>
    <n v="76.540000000000006"/>
    <n v="4.7619047620000003"/>
    <n v="3.827"/>
    <n v="5.8"/>
  </r>
  <r>
    <s v="371-85-5789"/>
    <s v="B"/>
    <s v="Mandalay"/>
    <x v="0"/>
    <s v="Male"/>
    <s v="Health and beauty"/>
    <n v="87.98"/>
    <n v="3"/>
    <n v="13.196999999999999"/>
    <n v="277.137"/>
    <s v="3/5/2019"/>
    <d v="1899-12-30T10:40:00"/>
    <s v="Ewallet"/>
    <n v="263.94"/>
    <n v="4.7619047620000003"/>
    <n v="13.196999999999999"/>
    <n v="5.0999999999999996"/>
  </r>
  <r>
    <s v="273-16-6619"/>
    <s v="B"/>
    <s v="Mandalay"/>
    <x v="0"/>
    <s v="Male"/>
    <s v="Home and lifestyle"/>
    <n v="33.200000000000003"/>
    <n v="2"/>
    <n v="3.32"/>
    <n v="69.72"/>
    <s v="3/15/2019"/>
    <d v="1899-12-30T12:20:00"/>
    <s v="Credit card"/>
    <n v="66.400000000000006"/>
    <n v="4.7619047620000003"/>
    <n v="3.32"/>
    <n v="4.4000000000000004"/>
  </r>
  <r>
    <s v="794-42-3736"/>
    <s v="B"/>
    <s v="Mandalay"/>
    <x v="0"/>
    <s v="Male"/>
    <s v="Food and beverages"/>
    <n v="33.33"/>
    <n v="2"/>
    <n v="3.3330000000000002"/>
    <n v="69.992999999999995"/>
    <s v="1/26/2019"/>
    <d v="1899-12-30T14:41:00"/>
    <s v="Credit card"/>
    <n v="66.66"/>
    <n v="4.7619047620000003"/>
    <n v="3.3330000000000002"/>
    <n v="6.4"/>
  </r>
  <r>
    <s v="430-02-3888"/>
    <s v="B"/>
    <s v="Mandalay"/>
    <x v="0"/>
    <s v="Male"/>
    <s v="Electronic accessories"/>
    <n v="46.02"/>
    <n v="6"/>
    <n v="13.805999999999999"/>
    <n v="289.92599999999999"/>
    <s v="2/7/2019"/>
    <d v="1899-12-30T15:55:00"/>
    <s v="Cash"/>
    <n v="276.12"/>
    <n v="4.7619047620000003"/>
    <n v="13.805999999999999"/>
    <n v="7.1"/>
  </r>
  <r>
    <s v="200-40-6154"/>
    <s v="B"/>
    <s v="Mandalay"/>
    <x v="1"/>
    <s v="Male"/>
    <s v="Home and lifestyle"/>
    <n v="65.91"/>
    <n v="6"/>
    <n v="19.773"/>
    <n v="415.233"/>
    <s v="2/9/2019"/>
    <d v="1899-12-30T11:45:00"/>
    <s v="Cash"/>
    <n v="395.46"/>
    <n v="4.7619047620000003"/>
    <n v="19.773"/>
    <n v="5.7"/>
  </r>
  <r>
    <s v="649-29-6775"/>
    <s v="B"/>
    <s v="Mandalay"/>
    <x v="0"/>
    <s v="Male"/>
    <s v="Fashion accessories"/>
    <n v="33.520000000000003"/>
    <n v="1"/>
    <n v="1.6759999999999999"/>
    <n v="35.195999999999998"/>
    <s v="2/8/2019"/>
    <d v="1899-12-30T15:31:00"/>
    <s v="Cash"/>
    <n v="33.520000000000003"/>
    <n v="4.7619047620000003"/>
    <n v="1.6759999999999999"/>
    <n v="6.7"/>
  </r>
  <r>
    <s v="574-80-1489"/>
    <s v="B"/>
    <s v="Mandalay"/>
    <x v="1"/>
    <s v="Female"/>
    <s v="Food and beverages"/>
    <n v="62.85"/>
    <n v="4"/>
    <n v="12.57"/>
    <n v="263.97000000000003"/>
    <s v="2/25/2019"/>
    <d v="1899-12-30T13:22:00"/>
    <s v="Ewallet"/>
    <n v="251.4"/>
    <n v="4.7619047620000003"/>
    <n v="12.57"/>
    <n v="8.6999999999999993"/>
  </r>
  <r>
    <s v="145-94-9061"/>
    <s v="B"/>
    <s v="Mandalay"/>
    <x v="0"/>
    <s v="Female"/>
    <s v="Food and beverages"/>
    <n v="88.36"/>
    <n v="5"/>
    <n v="22.09"/>
    <n v="463.89"/>
    <s v="1/25/2019"/>
    <d v="1899-12-30T19:48:00"/>
    <s v="Cash"/>
    <n v="441.8"/>
    <n v="4.7619047620000003"/>
    <n v="22.09"/>
    <n v="9.6"/>
  </r>
  <r>
    <s v="305-89-2768"/>
    <s v="B"/>
    <s v="Mandalay"/>
    <x v="1"/>
    <s v="Female"/>
    <s v="Home and lifestyle"/>
    <n v="21.9"/>
    <n v="3"/>
    <n v="3.2850000000000001"/>
    <n v="68.984999999999999"/>
    <s v="1/9/2019"/>
    <d v="1899-12-30T18:43:00"/>
    <s v="Ewallet"/>
    <n v="65.7"/>
    <n v="4.7619047620000003"/>
    <n v="3.2850000000000001"/>
    <n v="4.7"/>
  </r>
  <r>
    <s v="871-79-8483"/>
    <s v="B"/>
    <s v="Mandalay"/>
    <x v="0"/>
    <s v="Male"/>
    <s v="Fashion accessories"/>
    <n v="94.13"/>
    <n v="5"/>
    <n v="23.532499999999999"/>
    <n v="494.1825"/>
    <s v="2/25/2019"/>
    <d v="1899-12-30T19:39:00"/>
    <s v="Credit card"/>
    <n v="470.65"/>
    <n v="4.7619047620000003"/>
    <n v="23.532499999999999"/>
    <n v="4.8"/>
  </r>
  <r>
    <s v="149-71-6266"/>
    <s v="B"/>
    <s v="Mandalay"/>
    <x v="1"/>
    <s v="Male"/>
    <s v="Sports and travel"/>
    <n v="78.069999999999993"/>
    <n v="9"/>
    <n v="35.131500000000003"/>
    <n v="737.76149999999996"/>
    <s v="1/28/2019"/>
    <d v="1899-12-30T12:43:00"/>
    <s v="Cash"/>
    <n v="702.63"/>
    <n v="4.7619047620000003"/>
    <n v="35.131500000000003"/>
    <n v="4.5"/>
  </r>
  <r>
    <s v="640-49-2076"/>
    <s v="B"/>
    <s v="Mandalay"/>
    <x v="0"/>
    <s v="Male"/>
    <s v="Sports and travel"/>
    <n v="83.78"/>
    <n v="8"/>
    <n v="33.512"/>
    <n v="703.75199999999995"/>
    <s v="1/10/2019"/>
    <d v="1899-12-30T14:49:00"/>
    <s v="Cash"/>
    <n v="670.24"/>
    <n v="4.7619047620000003"/>
    <n v="33.512"/>
    <n v="5.0999999999999996"/>
  </r>
  <r>
    <s v="503-21-4385"/>
    <s v="B"/>
    <s v="Mandalay"/>
    <x v="1"/>
    <s v="Male"/>
    <s v="Health and beauty"/>
    <n v="39.909999999999997"/>
    <n v="3"/>
    <n v="5.9865000000000004"/>
    <n v="125.7165"/>
    <s v="2/21/2019"/>
    <d v="1899-12-30T12:40:00"/>
    <s v="Ewallet"/>
    <n v="119.73"/>
    <n v="4.7619047620000003"/>
    <n v="5.9865000000000004"/>
    <n v="9.3000000000000007"/>
  </r>
  <r>
    <s v="365-16-4334"/>
    <s v="B"/>
    <s v="Mandalay"/>
    <x v="0"/>
    <s v="Female"/>
    <s v="Food and beverages"/>
    <n v="26.43"/>
    <n v="8"/>
    <n v="10.571999999999999"/>
    <n v="222.012"/>
    <s v="2/24/2019"/>
    <d v="1899-12-30T14:26:00"/>
    <s v="Ewallet"/>
    <n v="211.44"/>
    <n v="4.7619047620000003"/>
    <n v="10.571999999999999"/>
    <n v="8.9"/>
  </r>
  <r>
    <s v="676-10-2200"/>
    <s v="B"/>
    <s v="Mandalay"/>
    <x v="1"/>
    <s v="Male"/>
    <s v="Fashion accessories"/>
    <n v="53.78"/>
    <n v="1"/>
    <n v="2.6890000000000001"/>
    <n v="56.469000000000001"/>
    <s v="2/3/2019"/>
    <d v="1899-12-30T20:13:00"/>
    <s v="Ewallet"/>
    <n v="53.78"/>
    <n v="4.7619047620000003"/>
    <n v="2.6890000000000001"/>
    <n v="4.7"/>
  </r>
  <r>
    <s v="501-61-1753"/>
    <s v="B"/>
    <s v="Mandalay"/>
    <x v="0"/>
    <s v="Female"/>
    <s v="Home and lifestyle"/>
    <n v="63.15"/>
    <n v="6"/>
    <n v="18.945"/>
    <n v="397.84500000000003"/>
    <s v="1/3/2019"/>
    <d v="1899-12-30T20:24:00"/>
    <s v="Ewallet"/>
    <n v="378.9"/>
    <n v="4.7619047620000003"/>
    <n v="18.945"/>
    <n v="9.8000000000000007"/>
  </r>
  <r>
    <s v="641-62-7288"/>
    <s v="B"/>
    <s v="Mandalay"/>
    <x v="0"/>
    <s v="Male"/>
    <s v="Home and lifestyle"/>
    <n v="99.92"/>
    <n v="6"/>
    <n v="29.975999999999999"/>
    <n v="629.49599999999998"/>
    <s v="3/24/2019"/>
    <d v="1899-12-30T13:33:00"/>
    <s v="Ewallet"/>
    <n v="599.52"/>
    <n v="4.7619047620000003"/>
    <n v="29.975999999999999"/>
    <n v="7.1"/>
  </r>
  <r>
    <s v="825-94-5922"/>
    <s v="B"/>
    <s v="Mandalay"/>
    <x v="0"/>
    <s v="Male"/>
    <s v="Sports and travel"/>
    <n v="25.31"/>
    <n v="2"/>
    <n v="2.5310000000000001"/>
    <n v="53.151000000000003"/>
    <s v="3/2/2019"/>
    <d v="1899-12-30T19:26:00"/>
    <s v="Ewallet"/>
    <n v="50.62"/>
    <n v="4.7619047620000003"/>
    <n v="2.5310000000000001"/>
    <n v="7.2"/>
  </r>
  <r>
    <s v="777-82-7220"/>
    <s v="B"/>
    <s v="Mandalay"/>
    <x v="1"/>
    <s v="Male"/>
    <s v="Home and lifestyle"/>
    <n v="30.12"/>
    <n v="8"/>
    <n v="12.048"/>
    <n v="253.00800000000001"/>
    <s v="3/3/2019"/>
    <d v="1899-12-30T13:01:00"/>
    <s v="Cash"/>
    <n v="240.96"/>
    <n v="4.7619047620000003"/>
    <n v="12.048"/>
    <n v="7.7"/>
  </r>
  <r>
    <s v="280-35-5823"/>
    <s v="B"/>
    <s v="Mandalay"/>
    <x v="1"/>
    <s v="Female"/>
    <s v="Home and lifestyle"/>
    <n v="86.72"/>
    <n v="1"/>
    <n v="4.3360000000000003"/>
    <n v="91.055999999999997"/>
    <s v="1/17/2019"/>
    <d v="1899-12-30T18:45:00"/>
    <s v="Ewallet"/>
    <n v="86.72"/>
    <n v="4.7619047620000003"/>
    <n v="4.3360000000000003"/>
    <n v="7.9"/>
  </r>
  <r>
    <s v="431-66-2305"/>
    <s v="B"/>
    <s v="Mandalay"/>
    <x v="0"/>
    <s v="Female"/>
    <s v="Electronic accessories"/>
    <n v="88.25"/>
    <n v="9"/>
    <n v="39.712499999999999"/>
    <n v="833.96249999999998"/>
    <s v="2/15/2019"/>
    <d v="1899-12-30T20:51:00"/>
    <s v="Credit card"/>
    <n v="794.25"/>
    <n v="4.7619047620000003"/>
    <n v="39.712499999999999"/>
    <n v="7.6"/>
  </r>
  <r>
    <s v="354-25-5821"/>
    <s v="B"/>
    <s v="Mandalay"/>
    <x v="1"/>
    <s v="Female"/>
    <s v="Sports and travel"/>
    <n v="69.12"/>
    <n v="6"/>
    <n v="20.736000000000001"/>
    <n v="435.45600000000002"/>
    <s v="2/8/2019"/>
    <d v="1899-12-30T13:03:00"/>
    <s v="Cash"/>
    <n v="414.72"/>
    <n v="4.7619047620000003"/>
    <n v="20.736000000000001"/>
    <n v="5.6"/>
  </r>
  <r>
    <s v="321-49-7382"/>
    <s v="B"/>
    <s v="Mandalay"/>
    <x v="1"/>
    <s v="Male"/>
    <s v="Sports and travel"/>
    <n v="88.31"/>
    <n v="1"/>
    <n v="4.4154999999999998"/>
    <n v="92.725499999999997"/>
    <s v="2/15/2019"/>
    <d v="1899-12-30T17:38:00"/>
    <s v="Credit card"/>
    <n v="88.31"/>
    <n v="4.7619047620000003"/>
    <n v="4.4154999999999998"/>
    <n v="5.2"/>
  </r>
  <r>
    <s v="226-34-0034"/>
    <s v="B"/>
    <s v="Mandalay"/>
    <x v="0"/>
    <s v="Female"/>
    <s v="Electronic accessories"/>
    <n v="13.78"/>
    <n v="4"/>
    <n v="2.7559999999999998"/>
    <n v="57.875999999999998"/>
    <s v="1/10/2019"/>
    <d v="1899-12-30T11:10:00"/>
    <s v="Ewallet"/>
    <n v="55.12"/>
    <n v="4.7619047620000003"/>
    <n v="2.7559999999999998"/>
    <n v="9"/>
  </r>
  <r>
    <s v="132-32-9879"/>
    <s v="B"/>
    <s v="Mandalay"/>
    <x v="1"/>
    <s v="Female"/>
    <s v="Electronic accessories"/>
    <n v="93.96"/>
    <n v="4"/>
    <n v="18.792000000000002"/>
    <n v="394.63200000000001"/>
    <s v="3/9/2019"/>
    <d v="1899-12-30T18:00:00"/>
    <s v="Cash"/>
    <n v="375.84"/>
    <n v="4.7619047620000003"/>
    <n v="18.792000000000002"/>
    <n v="9.5"/>
  </r>
  <r>
    <s v="370-41-7321"/>
    <s v="B"/>
    <s v="Mandalay"/>
    <x v="1"/>
    <s v="Male"/>
    <s v="Health and beauty"/>
    <n v="56.69"/>
    <n v="9"/>
    <n v="25.5105"/>
    <n v="535.72050000000002"/>
    <s v="2/27/2019"/>
    <d v="1899-12-30T17:24:00"/>
    <s v="Credit card"/>
    <n v="510.21"/>
    <n v="4.7619047620000003"/>
    <n v="25.5105"/>
    <n v="8.4"/>
  </r>
  <r>
    <s v="727-46-3608"/>
    <s v="B"/>
    <s v="Mandalay"/>
    <x v="1"/>
    <s v="Female"/>
    <s v="Food and beverages"/>
    <n v="20.010000000000002"/>
    <n v="9"/>
    <n v="9.0045000000000002"/>
    <n v="189.09450000000001"/>
    <s v="2/6/2019"/>
    <d v="1899-12-30T15:47:00"/>
    <s v="Ewallet"/>
    <n v="180.09"/>
    <n v="4.7619047620000003"/>
    <n v="9.0045000000000002"/>
    <n v="4.0999999999999996"/>
  </r>
  <r>
    <s v="669-54-1719"/>
    <s v="B"/>
    <s v="Mandalay"/>
    <x v="1"/>
    <s v="Male"/>
    <s v="Electronic accessories"/>
    <n v="18.93"/>
    <n v="6"/>
    <n v="5.6790000000000003"/>
    <n v="119.259"/>
    <s v="2/10/2019"/>
    <d v="1899-12-30T12:45:00"/>
    <s v="Credit card"/>
    <n v="113.58"/>
    <n v="4.7619047620000003"/>
    <n v="5.6790000000000003"/>
    <n v="8.1"/>
  </r>
  <r>
    <s v="181-82-6255"/>
    <s v="B"/>
    <s v="Mandalay"/>
    <x v="0"/>
    <s v="Female"/>
    <s v="Home and lifestyle"/>
    <n v="16.37"/>
    <n v="6"/>
    <n v="4.9109999999999996"/>
    <n v="103.131"/>
    <s v="2/8/2019"/>
    <d v="1899-12-30T10:58:00"/>
    <s v="Cash"/>
    <n v="98.22"/>
    <n v="4.7619047620000003"/>
    <n v="4.9109999999999996"/>
    <n v="7"/>
  </r>
  <r>
    <s v="636-98-3364"/>
    <s v="B"/>
    <s v="Mandalay"/>
    <x v="1"/>
    <s v="Female"/>
    <s v="Electronic accessories"/>
    <n v="26.26"/>
    <n v="3"/>
    <n v="3.9390000000000001"/>
    <n v="82.718999999999994"/>
    <s v="3/2/2019"/>
    <d v="1899-12-30T12:36:00"/>
    <s v="Ewallet"/>
    <n v="78.78"/>
    <n v="4.7619047620000003"/>
    <n v="3.9390000000000001"/>
    <n v="6.3"/>
  </r>
  <r>
    <s v="777-67-2495"/>
    <s v="B"/>
    <s v="Mandalay"/>
    <x v="0"/>
    <s v="Male"/>
    <s v="Home and lifestyle"/>
    <n v="68.97"/>
    <n v="3"/>
    <n v="10.345499999999999"/>
    <n v="217.25550000000001"/>
    <s v="2/22/2019"/>
    <d v="1899-12-30T11:26:00"/>
    <s v="Ewallet"/>
    <n v="206.91"/>
    <n v="4.7619047620000003"/>
    <n v="10.345499999999999"/>
    <n v="8.6999999999999993"/>
  </r>
  <r>
    <s v="616-24-2851"/>
    <s v="B"/>
    <s v="Mandalay"/>
    <x v="1"/>
    <s v="Female"/>
    <s v="Fashion accessories"/>
    <n v="17.87"/>
    <n v="4"/>
    <n v="3.5739999999999998"/>
    <n v="75.054000000000002"/>
    <s v="3/22/2019"/>
    <d v="1899-12-30T14:42:00"/>
    <s v="Ewallet"/>
    <n v="71.48"/>
    <n v="4.7619047620000003"/>
    <n v="3.5739999999999998"/>
    <n v="6.5"/>
  </r>
  <r>
    <s v="313-66-9943"/>
    <s v="B"/>
    <s v="Mandalay"/>
    <x v="1"/>
    <s v="Female"/>
    <s v="Food and beverages"/>
    <n v="29.15"/>
    <n v="3"/>
    <n v="4.3724999999999996"/>
    <n v="91.822500000000005"/>
    <s v="3/27/2019"/>
    <d v="1899-12-30T20:29:00"/>
    <s v="Credit card"/>
    <n v="87.45"/>
    <n v="4.7619047620000003"/>
    <n v="4.3724999999999996"/>
    <n v="7.3"/>
  </r>
  <r>
    <s v="242-55-6721"/>
    <s v="B"/>
    <s v="Mandalay"/>
    <x v="0"/>
    <s v="Male"/>
    <s v="Home and lifestyle"/>
    <n v="16.16"/>
    <n v="2"/>
    <n v="1.6160000000000001"/>
    <n v="33.936"/>
    <s v="3/7/2019"/>
    <d v="1899-12-30T11:49:00"/>
    <s v="Ewallet"/>
    <n v="32.32"/>
    <n v="4.7619047620000003"/>
    <n v="1.6160000000000001"/>
    <n v="6.5"/>
  </r>
  <r>
    <s v="624-01-8356"/>
    <s v="B"/>
    <s v="Mandalay"/>
    <x v="0"/>
    <s v="Female"/>
    <s v="Home and lifestyle"/>
    <n v="49.01"/>
    <n v="10"/>
    <n v="24.504999999999999"/>
    <n v="514.60500000000002"/>
    <s v="1/27/2019"/>
    <d v="1899-12-30T10:44:00"/>
    <s v="Credit card"/>
    <n v="490.1"/>
    <n v="4.7619047620000003"/>
    <n v="24.504999999999999"/>
    <n v="4.2"/>
  </r>
  <r>
    <s v="851-98-3555"/>
    <s v="B"/>
    <s v="Mandalay"/>
    <x v="0"/>
    <s v="Female"/>
    <s v="Health and beauty"/>
    <n v="82.88"/>
    <n v="5"/>
    <n v="20.72"/>
    <n v="435.12"/>
    <s v="3/24/2019"/>
    <d v="1899-12-30T14:08:00"/>
    <s v="Credit card"/>
    <n v="414.4"/>
    <n v="4.7619047620000003"/>
    <n v="20.72"/>
    <n v="6.6"/>
  </r>
  <r>
    <s v="509-10-0516"/>
    <s v="B"/>
    <s v="Mandalay"/>
    <x v="0"/>
    <s v="Male"/>
    <s v="Home and lifestyle"/>
    <n v="45.97"/>
    <n v="4"/>
    <n v="9.1940000000000008"/>
    <n v="193.07400000000001"/>
    <s v="2/9/2019"/>
    <d v="1899-12-30T12:02:00"/>
    <s v="Ewallet"/>
    <n v="183.88"/>
    <n v="4.7619047620000003"/>
    <n v="9.1940000000000008"/>
    <n v="5.0999999999999996"/>
  </r>
  <r>
    <s v="699-88-1972"/>
    <s v="B"/>
    <s v="Mandalay"/>
    <x v="0"/>
    <s v="Male"/>
    <s v="Health and beauty"/>
    <n v="99.16"/>
    <n v="8"/>
    <n v="39.664000000000001"/>
    <n v="832.94399999999996"/>
    <s v="1/28/2019"/>
    <d v="1899-12-30T17:47:00"/>
    <s v="Credit card"/>
    <n v="793.28"/>
    <n v="4.7619047620000003"/>
    <n v="39.664000000000001"/>
    <n v="4.2"/>
  </r>
  <r>
    <s v="811-35-1094"/>
    <s v="B"/>
    <s v="Mandalay"/>
    <x v="1"/>
    <s v="Male"/>
    <s v="Electronic accessories"/>
    <n v="50.45"/>
    <n v="6"/>
    <n v="15.135"/>
    <n v="317.83499999999998"/>
    <s v="2/6/2019"/>
    <d v="1899-12-30T15:16:00"/>
    <s v="Credit card"/>
    <n v="302.7"/>
    <n v="4.7619047620000003"/>
    <n v="15.135"/>
    <n v="8.9"/>
  </r>
  <r>
    <s v="715-20-1673"/>
    <s v="B"/>
    <s v="Mandalay"/>
    <x v="0"/>
    <s v="Male"/>
    <s v="Electronic accessories"/>
    <n v="28.38"/>
    <n v="5"/>
    <n v="7.0949999999999998"/>
    <n v="148.995"/>
    <s v="3/6/2019"/>
    <d v="1899-12-30T20:57:00"/>
    <s v="Cash"/>
    <n v="141.9"/>
    <n v="4.7619047620000003"/>
    <n v="7.0949999999999998"/>
    <n v="9.4"/>
  </r>
  <r>
    <s v="114-35-5271"/>
    <s v="B"/>
    <s v="Mandalay"/>
    <x v="0"/>
    <s v="Female"/>
    <s v="Electronic accessories"/>
    <n v="57.91"/>
    <n v="8"/>
    <n v="23.164000000000001"/>
    <n v="486.44400000000002"/>
    <s v="2/7/2019"/>
    <d v="1899-12-30T15:06:00"/>
    <s v="Cash"/>
    <n v="463.28"/>
    <n v="4.7619047620000003"/>
    <n v="23.164000000000001"/>
    <n v="8.1"/>
  </r>
  <r>
    <s v="347-34-2234"/>
    <s v="B"/>
    <s v="Mandalay"/>
    <x v="1"/>
    <s v="Female"/>
    <s v="Sports and travel"/>
    <n v="55.07"/>
    <n v="9"/>
    <n v="24.781500000000001"/>
    <n v="520.41150000000005"/>
    <s v="2/3/2019"/>
    <d v="1899-12-30T13:40:00"/>
    <s v="Ewallet"/>
    <n v="495.63"/>
    <n v="4.7619047620000003"/>
    <n v="24.781500000000001"/>
    <n v="10"/>
  </r>
  <r>
    <s v="311-13-6971"/>
    <s v="B"/>
    <s v="Mandalay"/>
    <x v="1"/>
    <s v="Male"/>
    <s v="Sports and travel"/>
    <n v="31.99"/>
    <n v="10"/>
    <n v="15.994999999999999"/>
    <n v="335.89499999999998"/>
    <s v="2/20/2019"/>
    <d v="1899-12-30T15:18:00"/>
    <s v="Credit card"/>
    <n v="319.89999999999998"/>
    <n v="4.7619047620000003"/>
    <n v="15.994999999999999"/>
    <n v="9.9"/>
  </r>
  <r>
    <s v="853-23-2453"/>
    <s v="B"/>
    <s v="Mandalay"/>
    <x v="1"/>
    <s v="Male"/>
    <s v="Health and beauty"/>
    <n v="75.739999999999995"/>
    <n v="4"/>
    <n v="15.148"/>
    <n v="318.108"/>
    <s v="2/14/2019"/>
    <d v="1899-12-30T14:35:00"/>
    <s v="Cash"/>
    <n v="302.95999999999998"/>
    <n v="4.7619047620000003"/>
    <n v="15.148"/>
    <n v="7.6"/>
  </r>
  <r>
    <s v="490-95-0021"/>
    <s v="B"/>
    <s v="Mandalay"/>
    <x v="1"/>
    <s v="Female"/>
    <s v="Food and beverages"/>
    <n v="33.21"/>
    <n v="10"/>
    <n v="16.605"/>
    <n v="348.70499999999998"/>
    <s v="1/8/2019"/>
    <d v="1899-12-30T14:25:00"/>
    <s v="Ewallet"/>
    <n v="332.1"/>
    <n v="4.7619047620000003"/>
    <n v="16.605"/>
    <n v="6"/>
  </r>
  <r>
    <s v="761-49-0439"/>
    <s v="B"/>
    <s v="Mandalay"/>
    <x v="1"/>
    <s v="Female"/>
    <s v="Electronic accessories"/>
    <n v="12.1"/>
    <n v="8"/>
    <n v="4.84"/>
    <n v="101.64"/>
    <s v="1/19/2019"/>
    <d v="1899-12-30T10:17:00"/>
    <s v="Ewallet"/>
    <n v="96.8"/>
    <n v="4.7619047620000003"/>
    <n v="4.84"/>
    <n v="8.6"/>
  </r>
  <r>
    <s v="109-28-2512"/>
    <s v="B"/>
    <s v="Mandalay"/>
    <x v="1"/>
    <s v="Female"/>
    <s v="Fashion accessories"/>
    <n v="97.61"/>
    <n v="6"/>
    <n v="29.283000000000001"/>
    <n v="614.94299999999998"/>
    <s v="1/7/2019"/>
    <d v="1899-12-30T15:01:00"/>
    <s v="Ewallet"/>
    <n v="585.66"/>
    <n v="4.7619047620000003"/>
    <n v="29.283000000000001"/>
    <n v="9.9"/>
  </r>
  <r>
    <s v="608-05-3804"/>
    <s v="B"/>
    <s v="Mandalay"/>
    <x v="1"/>
    <s v="Male"/>
    <s v="Electronic accessories"/>
    <n v="39.75"/>
    <n v="1"/>
    <n v="1.9875"/>
    <n v="41.737499999999997"/>
    <s v="2/25/2019"/>
    <d v="1899-12-30T20:19:00"/>
    <s v="Cash"/>
    <n v="39.75"/>
    <n v="4.7619047620000003"/>
    <n v="1.9875"/>
    <n v="6.1"/>
  </r>
  <r>
    <s v="544-55-9589"/>
    <s v="B"/>
    <s v="Mandalay"/>
    <x v="1"/>
    <s v="Female"/>
    <s v="Electronic accessories"/>
    <n v="21.43"/>
    <n v="10"/>
    <n v="10.715"/>
    <n v="225.01499999999999"/>
    <s v="1/28/2019"/>
    <d v="1899-12-30T11:51:00"/>
    <s v="Cash"/>
    <n v="214.3"/>
    <n v="4.7619047620000003"/>
    <n v="10.715"/>
    <n v="6.2"/>
  </r>
  <r>
    <s v="361-59-0574"/>
    <s v="B"/>
    <s v="Mandalay"/>
    <x v="1"/>
    <s v="Male"/>
    <s v="Sports and travel"/>
    <n v="90.53"/>
    <n v="8"/>
    <n v="36.212000000000003"/>
    <n v="760.452"/>
    <s v="3/15/2019"/>
    <d v="1899-12-30T14:48:00"/>
    <s v="Credit card"/>
    <n v="724.24"/>
    <n v="4.7619047620000003"/>
    <n v="36.212000000000003"/>
    <n v="6.5"/>
  </r>
  <r>
    <s v="533-66-5566"/>
    <s v="B"/>
    <s v="Mandalay"/>
    <x v="0"/>
    <s v="Female"/>
    <s v="Home and lifestyle"/>
    <n v="51.07"/>
    <n v="7"/>
    <n v="17.874500000000001"/>
    <n v="375.36450000000002"/>
    <s v="1/12/2019"/>
    <d v="1899-12-30T11:42:00"/>
    <s v="Cash"/>
    <n v="357.49"/>
    <n v="4.7619047620000003"/>
    <n v="17.874500000000001"/>
    <n v="7"/>
  </r>
  <r>
    <s v="510-95-6347"/>
    <s v="B"/>
    <s v="Mandalay"/>
    <x v="1"/>
    <s v="Female"/>
    <s v="Food and beverages"/>
    <n v="48.52"/>
    <n v="3"/>
    <n v="7.2779999999999996"/>
    <n v="152.83799999999999"/>
    <s v="3/5/2019"/>
    <d v="1899-12-30T18:17:00"/>
    <s v="Ewallet"/>
    <n v="145.56"/>
    <n v="4.7619047620000003"/>
    <n v="7.2779999999999996"/>
    <n v="4"/>
  </r>
  <r>
    <s v="152-03-4217"/>
    <s v="B"/>
    <s v="Mandalay"/>
    <x v="0"/>
    <s v="Female"/>
    <s v="Home and lifestyle"/>
    <n v="11.28"/>
    <n v="9"/>
    <n v="5.0759999999999996"/>
    <n v="106.596"/>
    <s v="3/17/2019"/>
    <d v="1899-12-30T11:55:00"/>
    <s v="Credit card"/>
    <n v="101.52"/>
    <n v="4.7619047620000003"/>
    <n v="5.0759999999999996"/>
    <n v="4.3"/>
  </r>
  <r>
    <s v="234-36-2483"/>
    <s v="B"/>
    <s v="Mandalay"/>
    <x v="0"/>
    <s v="Male"/>
    <s v="Health and beauty"/>
    <n v="57.59"/>
    <n v="6"/>
    <n v="17.277000000000001"/>
    <n v="362.81700000000001"/>
    <s v="2/15/2019"/>
    <d v="1899-12-30T13:51:00"/>
    <s v="Cash"/>
    <n v="345.54"/>
    <n v="4.7619047620000003"/>
    <n v="17.277000000000001"/>
    <n v="5.0999999999999996"/>
  </r>
  <r>
    <s v="770-42-8960"/>
    <s v="B"/>
    <s v="Mandalay"/>
    <x v="0"/>
    <s v="Male"/>
    <s v="Food and beverages"/>
    <n v="21.12"/>
    <n v="8"/>
    <n v="8.4480000000000004"/>
    <n v="177.40799999999999"/>
    <s v="1/1/2019"/>
    <d v="1899-12-30T19:31:00"/>
    <s v="Cash"/>
    <n v="168.96"/>
    <n v="4.7619047620000003"/>
    <n v="8.4480000000000004"/>
    <n v="6.3"/>
  </r>
  <r>
    <s v="895-03-6665"/>
    <s v="B"/>
    <s v="Mandalay"/>
    <x v="0"/>
    <s v="Female"/>
    <s v="Fashion accessories"/>
    <n v="36.51"/>
    <n v="9"/>
    <n v="16.429500000000001"/>
    <n v="345.01949999999999"/>
    <s v="2/16/2019"/>
    <d v="1899-12-30T10:52:00"/>
    <s v="Cash"/>
    <n v="328.59"/>
    <n v="4.7619047620000003"/>
    <n v="16.429500000000001"/>
    <n v="4.2"/>
  </r>
  <r>
    <s v="866-70-2814"/>
    <s v="B"/>
    <s v="Mandalay"/>
    <x v="0"/>
    <s v="Female"/>
    <s v="Electronic accessories"/>
    <n v="52.79"/>
    <n v="10"/>
    <n v="26.395"/>
    <n v="554.29499999999996"/>
    <s v="2/25/2019"/>
    <d v="1899-12-30T11:58:00"/>
    <s v="Ewallet"/>
    <n v="527.9"/>
    <n v="4.7619047620000003"/>
    <n v="26.395"/>
    <n v="10"/>
  </r>
  <r>
    <s v="291-59-1384"/>
    <s v="B"/>
    <s v="Mandalay"/>
    <x v="0"/>
    <s v="Male"/>
    <s v="Electronic accessories"/>
    <n v="60.3"/>
    <n v="1"/>
    <n v="3.0150000000000001"/>
    <n v="63.314999999999998"/>
    <s v="2/28/2019"/>
    <d v="1899-12-30T17:38:00"/>
    <s v="Cash"/>
    <n v="60.3"/>
    <n v="4.7619047620000003"/>
    <n v="3.0150000000000001"/>
    <n v="6"/>
  </r>
  <r>
    <s v="670-71-7306"/>
    <s v="B"/>
    <s v="Mandalay"/>
    <x v="0"/>
    <s v="Male"/>
    <s v="Sports and travel"/>
    <n v="44.63"/>
    <n v="6"/>
    <n v="13.388999999999999"/>
    <n v="281.16899999999998"/>
    <s v="1/2/2019"/>
    <d v="1899-12-30T20:08:00"/>
    <s v="Credit card"/>
    <n v="267.77999999999997"/>
    <n v="4.7619047620000003"/>
    <n v="13.388999999999999"/>
    <n v="5.0999999999999996"/>
  </r>
  <r>
    <s v="427-45-9297"/>
    <s v="B"/>
    <s v="Mandalay"/>
    <x v="1"/>
    <s v="Female"/>
    <s v="Home and lifestyle"/>
    <n v="40.729999999999997"/>
    <n v="7"/>
    <n v="14.2555"/>
    <n v="299.3655"/>
    <s v="3/12/2019"/>
    <d v="1899-12-30T11:01:00"/>
    <s v="Ewallet"/>
    <n v="285.11"/>
    <n v="4.7619047620000003"/>
    <n v="14.2555"/>
    <n v="5.4"/>
  </r>
  <r>
    <s v="847-38-7188"/>
    <s v="B"/>
    <s v="Mandalay"/>
    <x v="0"/>
    <s v="Female"/>
    <s v="Food and beverages"/>
    <n v="96.68"/>
    <n v="3"/>
    <n v="14.502000000000001"/>
    <n v="304.54199999999997"/>
    <s v="1/26/2019"/>
    <d v="1899-12-30T19:56:00"/>
    <s v="Ewallet"/>
    <n v="290.04000000000002"/>
    <n v="4.7619047620000003"/>
    <n v="14.502000000000001"/>
    <n v="6.4"/>
  </r>
  <r>
    <s v="343-75-9322"/>
    <s v="B"/>
    <s v="Mandalay"/>
    <x v="1"/>
    <s v="Female"/>
    <s v="Sports and travel"/>
    <n v="11.85"/>
    <n v="8"/>
    <n v="4.74"/>
    <n v="99.54"/>
    <s v="1/9/2019"/>
    <d v="1899-12-30T16:34:00"/>
    <s v="Cash"/>
    <n v="94.8"/>
    <n v="4.7619047620000003"/>
    <n v="4.74"/>
    <n v="4.0999999999999996"/>
  </r>
  <r>
    <s v="636-17-0325"/>
    <s v="B"/>
    <s v="Mandalay"/>
    <x v="0"/>
    <s v="Male"/>
    <s v="Health and beauty"/>
    <n v="62.57"/>
    <n v="4"/>
    <n v="12.513999999999999"/>
    <n v="262.79399999999998"/>
    <s v="2/25/2019"/>
    <d v="1899-12-30T18:37:00"/>
    <s v="Cash"/>
    <n v="250.28"/>
    <n v="4.7619047620000003"/>
    <n v="12.513999999999999"/>
    <n v="9.5"/>
  </r>
  <r>
    <s v="222-42-0244"/>
    <s v="B"/>
    <s v="Mandalay"/>
    <x v="1"/>
    <s v="Female"/>
    <s v="Health and beauty"/>
    <n v="72.11"/>
    <n v="9"/>
    <n v="32.4495"/>
    <n v="681.43949999999995"/>
    <s v="1/28/2019"/>
    <d v="1899-12-30T13:53:00"/>
    <s v="Credit card"/>
    <n v="648.99"/>
    <n v="4.7619047620000003"/>
    <n v="32.4495"/>
    <n v="7.7"/>
  </r>
  <r>
    <s v="109-86-4363"/>
    <s v="B"/>
    <s v="Mandalay"/>
    <x v="1"/>
    <s v="Female"/>
    <s v="Sports and travel"/>
    <n v="60.08"/>
    <n v="7"/>
    <n v="21.027999999999999"/>
    <n v="441.58800000000002"/>
    <s v="2/14/2019"/>
    <d v="1899-12-30T11:36:00"/>
    <s v="Credit card"/>
    <n v="420.56"/>
    <n v="4.7619047620000003"/>
    <n v="21.027999999999999"/>
    <n v="4.5"/>
  </r>
  <r>
    <s v="366-43-6862"/>
    <s v="B"/>
    <s v="Mandalay"/>
    <x v="0"/>
    <s v="Male"/>
    <s v="Electronic accessories"/>
    <n v="52.89"/>
    <n v="4"/>
    <n v="10.577999999999999"/>
    <n v="222.13800000000001"/>
    <s v="3/25/2019"/>
    <d v="1899-12-30T16:32:00"/>
    <s v="Ewallet"/>
    <n v="211.56"/>
    <n v="4.7619047620000003"/>
    <n v="10.577999999999999"/>
    <n v="6.7"/>
  </r>
  <r>
    <s v="190-59-3964"/>
    <s v="B"/>
    <s v="Mandalay"/>
    <x v="1"/>
    <s v="Male"/>
    <s v="Food and beverages"/>
    <n v="47.16"/>
    <n v="5"/>
    <n v="11.79"/>
    <n v="247.59"/>
    <s v="2/3/2019"/>
    <d v="1899-12-30T14:35:00"/>
    <s v="Credit card"/>
    <n v="235.8"/>
    <n v="4.7619047620000003"/>
    <n v="11.79"/>
    <n v="6"/>
  </r>
  <r>
    <s v="869-11-3082"/>
    <s v="B"/>
    <s v="Mandalay"/>
    <x v="1"/>
    <s v="Male"/>
    <s v="Health and beauty"/>
    <n v="96.16"/>
    <n v="4"/>
    <n v="19.231999999999999"/>
    <n v="403.87200000000001"/>
    <s v="1/27/2019"/>
    <d v="1899-12-30T20:03:00"/>
    <s v="Credit card"/>
    <n v="384.64"/>
    <n v="4.7619047620000003"/>
    <n v="19.231999999999999"/>
    <n v="8.4"/>
  </r>
  <r>
    <s v="318-68-5053"/>
    <s v="B"/>
    <s v="Mandalay"/>
    <x v="0"/>
    <s v="Female"/>
    <s v="Health and beauty"/>
    <n v="76.989999999999995"/>
    <n v="6"/>
    <n v="23.097000000000001"/>
    <n v="485.03699999999998"/>
    <s v="2/27/2019"/>
    <d v="1899-12-30T17:55:00"/>
    <s v="Cash"/>
    <n v="461.94"/>
    <n v="4.7619047620000003"/>
    <n v="23.097000000000001"/>
    <n v="6.1"/>
  </r>
  <r>
    <s v="499-27-7781"/>
    <s v="B"/>
    <s v="Mandalay"/>
    <x v="0"/>
    <s v="Female"/>
    <s v="Food and beverages"/>
    <n v="53.21"/>
    <n v="8"/>
    <n v="21.283999999999999"/>
    <n v="446.964"/>
    <s v="3/14/2019"/>
    <d v="1899-12-30T16:45:00"/>
    <s v="Ewallet"/>
    <n v="425.68"/>
    <n v="4.7619047620000003"/>
    <n v="21.283999999999999"/>
    <n v="5"/>
  </r>
  <r>
    <s v="565-91-4567"/>
    <s v="B"/>
    <s v="Mandalay"/>
    <x v="0"/>
    <s v="Male"/>
    <s v="Health and beauty"/>
    <n v="10.75"/>
    <n v="8"/>
    <n v="4.3"/>
    <n v="90.3"/>
    <s v="3/15/2019"/>
    <d v="1899-12-30T14:38:00"/>
    <s v="Ewallet"/>
    <n v="86"/>
    <n v="4.7619047620000003"/>
    <n v="4.3"/>
    <n v="6.2"/>
  </r>
  <r>
    <s v="559-61-5987"/>
    <s v="B"/>
    <s v="Mandalay"/>
    <x v="0"/>
    <s v="Female"/>
    <s v="Health and beauty"/>
    <n v="17.75"/>
    <n v="1"/>
    <n v="0.88749999999999996"/>
    <n v="18.637499999999999"/>
    <s v="1/14/2019"/>
    <d v="1899-12-30T10:38:00"/>
    <s v="Cash"/>
    <n v="17.75"/>
    <n v="4.7619047620000003"/>
    <n v="0.88749999999999996"/>
    <n v="8.6"/>
  </r>
  <r>
    <s v="152-08-9985"/>
    <s v="B"/>
    <s v="Mandalay"/>
    <x v="1"/>
    <s v="Male"/>
    <s v="Health and beauty"/>
    <n v="64.36"/>
    <n v="9"/>
    <n v="28.962"/>
    <n v="608.202"/>
    <s v="3/12/2019"/>
    <d v="1899-12-30T12:09:00"/>
    <s v="Credit card"/>
    <n v="579.24"/>
    <n v="4.7619047620000003"/>
    <n v="28.962"/>
    <n v="8.6"/>
  </r>
  <r>
    <s v="831-81-6575"/>
    <s v="B"/>
    <s v="Mandalay"/>
    <x v="1"/>
    <s v="Female"/>
    <s v="Electronic accessories"/>
    <n v="75.59"/>
    <n v="9"/>
    <n v="34.015500000000003"/>
    <n v="714.32550000000003"/>
    <s v="2/23/2019"/>
    <d v="1899-12-30T11:12:00"/>
    <s v="Cash"/>
    <n v="680.31"/>
    <n v="4.7619047620000003"/>
    <n v="34.015500000000003"/>
    <n v="8"/>
  </r>
  <r>
    <s v="751-15-6198"/>
    <s v="B"/>
    <s v="Mandalay"/>
    <x v="0"/>
    <s v="Male"/>
    <s v="Sports and travel"/>
    <n v="23.01"/>
    <n v="6"/>
    <n v="6.9029999999999996"/>
    <n v="144.96299999999999"/>
    <s v="1/12/2019"/>
    <d v="1899-12-30T16:45:00"/>
    <s v="Ewallet"/>
    <n v="138.06"/>
    <n v="4.7619047620000003"/>
    <n v="6.9029999999999996"/>
    <n v="7.9"/>
  </r>
  <r>
    <s v="766-85-7061"/>
    <s v="B"/>
    <s v="Mandalay"/>
    <x v="0"/>
    <s v="Male"/>
    <s v="Health and beauty"/>
    <n v="87.87"/>
    <n v="10"/>
    <n v="43.935000000000002"/>
    <n v="922.63499999999999"/>
    <s v="3/29/2019"/>
    <d v="1899-12-30T10:25:00"/>
    <s v="Ewallet"/>
    <n v="878.7"/>
    <n v="4.7619047620000003"/>
    <n v="43.935000000000002"/>
    <n v="5.0999999999999996"/>
  </r>
  <r>
    <s v="359-94-5395"/>
    <s v="B"/>
    <s v="Mandalay"/>
    <x v="0"/>
    <s v="Male"/>
    <s v="Health and beauty"/>
    <n v="92.78"/>
    <n v="1"/>
    <n v="4.6390000000000002"/>
    <n v="97.418999999999997"/>
    <s v="3/15/2019"/>
    <d v="1899-12-30T10:50:00"/>
    <s v="Credit card"/>
    <n v="92.78"/>
    <n v="4.7619047620000003"/>
    <n v="4.6390000000000002"/>
    <n v="9.8000000000000007"/>
  </r>
  <r>
    <s v="605-83-1050"/>
    <s v="B"/>
    <s v="Mandalay"/>
    <x v="0"/>
    <s v="Male"/>
    <s v="Fashion accessories"/>
    <n v="27.18"/>
    <n v="2"/>
    <n v="2.718"/>
    <n v="57.078000000000003"/>
    <s v="3/15/2019"/>
    <d v="1899-12-30T16:26:00"/>
    <s v="Ewallet"/>
    <n v="54.36"/>
    <n v="4.7619047620000003"/>
    <n v="2.718"/>
    <n v="4.3"/>
  </r>
  <r>
    <s v="733-01-9107"/>
    <s v="B"/>
    <s v="Mandalay"/>
    <x v="0"/>
    <s v="Male"/>
    <s v="Home and lifestyle"/>
    <n v="82.7"/>
    <n v="6"/>
    <n v="24.81"/>
    <n v="521.01"/>
    <s v="3/5/2019"/>
    <d v="1899-12-30T18:14:00"/>
    <s v="Cash"/>
    <n v="496.2"/>
    <n v="4.7619047620000003"/>
    <n v="24.81"/>
    <n v="7.4"/>
  </r>
  <r>
    <s v="744-16-7898"/>
    <s v="B"/>
    <s v="Mandalay"/>
    <x v="0"/>
    <s v="Female"/>
    <s v="Home and lifestyle"/>
    <n v="97.37"/>
    <n v="10"/>
    <n v="48.685000000000002"/>
    <n v="1022.385"/>
    <s v="1/15/2019"/>
    <d v="1899-12-30T13:48:00"/>
    <s v="Credit card"/>
    <n v="973.7"/>
    <n v="4.7619047620000003"/>
    <n v="48.685000000000002"/>
    <n v="4.9000000000000004"/>
  </r>
  <r>
    <s v="457-94-0464"/>
    <s v="B"/>
    <s v="Mandalay"/>
    <x v="1"/>
    <s v="Male"/>
    <s v="Electronic accessories"/>
    <n v="87.87"/>
    <n v="9"/>
    <n v="39.541499999999999"/>
    <n v="830.37149999999997"/>
    <s v="1/31/2019"/>
    <d v="1899-12-30T20:32:00"/>
    <s v="Ewallet"/>
    <n v="790.83"/>
    <n v="4.7619047620000003"/>
    <n v="39.541499999999999"/>
    <n v="5.6"/>
  </r>
  <r>
    <s v="875-31-8302"/>
    <s v="B"/>
    <s v="Mandalay"/>
    <x v="0"/>
    <s v="Male"/>
    <s v="Sports and travel"/>
    <n v="93.38"/>
    <n v="1"/>
    <n v="4.6689999999999996"/>
    <n v="98.049000000000007"/>
    <s v="1/3/2019"/>
    <d v="1899-12-30T13:07:00"/>
    <s v="Cash"/>
    <n v="93.38"/>
    <n v="4.7619047620000003"/>
    <n v="4.6689999999999996"/>
    <n v="9.6"/>
  </r>
  <r>
    <s v="120-54-2248"/>
    <s v="B"/>
    <s v="Mandalay"/>
    <x v="0"/>
    <s v="Female"/>
    <s v="Food and beverages"/>
    <n v="28.86"/>
    <n v="5"/>
    <n v="7.2149999999999999"/>
    <n v="151.51499999999999"/>
    <s v="1/22/2019"/>
    <d v="1899-12-30T18:08:00"/>
    <s v="Credit card"/>
    <n v="144.30000000000001"/>
    <n v="4.7619047620000003"/>
    <n v="7.2149999999999999"/>
    <n v="8"/>
  </r>
  <r>
    <s v="716-39-1409"/>
    <s v="B"/>
    <s v="Mandalay"/>
    <x v="0"/>
    <s v="Male"/>
    <s v="Health and beauty"/>
    <n v="30.35"/>
    <n v="7"/>
    <n v="10.6225"/>
    <n v="223.07249999999999"/>
    <s v="3/19/2019"/>
    <d v="1899-12-30T18:19:00"/>
    <s v="Cash"/>
    <n v="212.45"/>
    <n v="4.7619047620000003"/>
    <n v="10.6225"/>
    <n v="8"/>
  </r>
  <r>
    <s v="707-32-7409"/>
    <s v="B"/>
    <s v="Mandalay"/>
    <x v="1"/>
    <s v="Female"/>
    <s v="Sports and travel"/>
    <n v="95.54"/>
    <n v="4"/>
    <n v="19.108000000000001"/>
    <n v="401.26799999999997"/>
    <s v="2/26/2019"/>
    <d v="1899-12-30T11:58:00"/>
    <s v="Ewallet"/>
    <n v="382.16"/>
    <n v="4.7619047620000003"/>
    <n v="19.108000000000001"/>
    <n v="4.5"/>
  </r>
  <r>
    <s v="711-31-1234"/>
    <s v="B"/>
    <s v="Mandalay"/>
    <x v="0"/>
    <s v="Female"/>
    <s v="Electronic accessories"/>
    <n v="95.64"/>
    <n v="4"/>
    <n v="19.128"/>
    <n v="401.68799999999999"/>
    <s v="3/16/2019"/>
    <d v="1899-12-30T18:51:00"/>
    <s v="Cash"/>
    <n v="382.56"/>
    <n v="4.7619047620000003"/>
    <n v="19.128"/>
    <n v="7.9"/>
  </r>
  <r>
    <s v="388-76-2555"/>
    <s v="B"/>
    <s v="Mandalay"/>
    <x v="0"/>
    <s v="Male"/>
    <s v="Sports and travel"/>
    <n v="13.69"/>
    <n v="6"/>
    <n v="4.1070000000000002"/>
    <n v="86.247"/>
    <s v="2/13/2019"/>
    <d v="1899-12-30T13:59:00"/>
    <s v="Cash"/>
    <n v="82.14"/>
    <n v="4.7619047620000003"/>
    <n v="4.1070000000000002"/>
    <n v="6.3"/>
  </r>
  <r>
    <s v="593-14-4239"/>
    <s v="B"/>
    <s v="Mandalay"/>
    <x v="0"/>
    <s v="Female"/>
    <s v="Home and lifestyle"/>
    <n v="95.46"/>
    <n v="8"/>
    <n v="38.183999999999997"/>
    <n v="801.86400000000003"/>
    <s v="3/5/2019"/>
    <d v="1899-12-30T19:40:00"/>
    <s v="Ewallet"/>
    <n v="763.68"/>
    <n v="4.7619047620000003"/>
    <n v="38.183999999999997"/>
    <n v="4.7"/>
  </r>
  <r>
    <s v="525-09-8450"/>
    <s v="B"/>
    <s v="Mandalay"/>
    <x v="0"/>
    <s v="Male"/>
    <s v="Electronic accessories"/>
    <n v="72.13"/>
    <n v="10"/>
    <n v="36.064999999999998"/>
    <n v="757.36500000000001"/>
    <s v="1/31/2019"/>
    <d v="1899-12-30T15:12:00"/>
    <s v="Credit card"/>
    <n v="721.3"/>
    <n v="4.7619047620000003"/>
    <n v="36.064999999999998"/>
    <n v="4.2"/>
  </r>
  <r>
    <s v="479-26-8945"/>
    <s v="B"/>
    <s v="Mandalay"/>
    <x v="1"/>
    <s v="Female"/>
    <s v="Sports and travel"/>
    <n v="16.489999999999998"/>
    <n v="2"/>
    <n v="1.649"/>
    <n v="34.628999999999998"/>
    <s v="2/5/2019"/>
    <d v="1899-12-30T11:32:00"/>
    <s v="Ewallet"/>
    <n v="32.979999999999997"/>
    <n v="4.7619047620000003"/>
    <n v="1.649"/>
    <n v="4.5999999999999996"/>
  </r>
  <r>
    <s v="842-40-8179"/>
    <s v="B"/>
    <s v="Mandalay"/>
    <x v="1"/>
    <s v="Female"/>
    <s v="Food and beverages"/>
    <n v="77.2"/>
    <n v="10"/>
    <n v="38.6"/>
    <n v="810.6"/>
    <s v="2/11/2019"/>
    <d v="1899-12-30T10:38:00"/>
    <s v="Credit card"/>
    <n v="772"/>
    <n v="4.7619047620000003"/>
    <n v="38.6"/>
    <n v="5.6"/>
  </r>
  <r>
    <s v="227-78-1148"/>
    <s v="B"/>
    <s v="Mandalay"/>
    <x v="0"/>
    <s v="Female"/>
    <s v="Fashion accessories"/>
    <n v="72.84"/>
    <n v="7"/>
    <n v="25.494"/>
    <n v="535.37400000000002"/>
    <s v="2/15/2019"/>
    <d v="1899-12-30T12:44:00"/>
    <s v="Cash"/>
    <n v="509.88"/>
    <n v="4.7619047620000003"/>
    <n v="25.494"/>
    <n v="8.4"/>
  </r>
  <r>
    <s v="785-96-0615"/>
    <s v="B"/>
    <s v="Mandalay"/>
    <x v="1"/>
    <s v="Female"/>
    <s v="Electronic accessories"/>
    <n v="35.74"/>
    <n v="8"/>
    <n v="14.295999999999999"/>
    <n v="300.21600000000001"/>
    <s v="2/17/2019"/>
    <d v="1899-12-30T15:28:00"/>
    <s v="Ewallet"/>
    <n v="285.92"/>
    <n v="4.7619047620000003"/>
    <n v="14.295999999999999"/>
    <n v="4.9000000000000004"/>
  </r>
  <r>
    <s v="775-72-1988"/>
    <s v="B"/>
    <s v="Mandalay"/>
    <x v="0"/>
    <s v="Male"/>
    <s v="Home and lifestyle"/>
    <n v="73.28"/>
    <n v="5"/>
    <n v="18.32"/>
    <n v="384.72"/>
    <s v="1/24/2019"/>
    <d v="1899-12-30T15:05:00"/>
    <s v="Ewallet"/>
    <n v="366.4"/>
    <n v="4.7619047620000003"/>
    <n v="18.32"/>
    <n v="8.4"/>
  </r>
  <r>
    <s v="210-30-7976"/>
    <s v="B"/>
    <s v="Mandalay"/>
    <x v="1"/>
    <s v="Female"/>
    <s v="Fashion accessories"/>
    <n v="22.32"/>
    <n v="4"/>
    <n v="4.4640000000000004"/>
    <n v="93.744"/>
    <s v="3/14/2019"/>
    <d v="1899-12-30T11:16:00"/>
    <s v="Ewallet"/>
    <n v="89.28"/>
    <n v="4.7619047620000003"/>
    <n v="4.4640000000000004"/>
    <n v="4.0999999999999996"/>
  </r>
  <r>
    <s v="291-32-1427"/>
    <s v="B"/>
    <s v="Mandalay"/>
    <x v="1"/>
    <s v="Male"/>
    <s v="Fashion accessories"/>
    <n v="21.94"/>
    <n v="5"/>
    <n v="5.4850000000000003"/>
    <n v="115.185"/>
    <s v="3/5/2019"/>
    <d v="1899-12-30T12:29:00"/>
    <s v="Ewallet"/>
    <n v="109.7"/>
    <n v="4.7619047620000003"/>
    <n v="5.4850000000000003"/>
    <n v="5.3"/>
  </r>
  <r>
    <s v="659-65-8956"/>
    <s v="B"/>
    <s v="Mandalay"/>
    <x v="1"/>
    <s v="Male"/>
    <s v="Fashion accessories"/>
    <n v="51.36"/>
    <n v="1"/>
    <n v="2.5680000000000001"/>
    <n v="53.927999999999997"/>
    <s v="1/16/2019"/>
    <d v="1899-12-30T15:26:00"/>
    <s v="Ewallet"/>
    <n v="51.36"/>
    <n v="4.7619047620000003"/>
    <n v="2.5680000000000001"/>
    <n v="5.2"/>
  </r>
  <r>
    <s v="487-79-6868"/>
    <s v="B"/>
    <s v="Mandalay"/>
    <x v="1"/>
    <s v="Female"/>
    <s v="Home and lifestyle"/>
    <n v="12.29"/>
    <n v="9"/>
    <n v="5.5305"/>
    <n v="116.1405"/>
    <s v="3/26/2019"/>
    <d v="1899-12-30T19:28:00"/>
    <s v="Credit card"/>
    <n v="110.61"/>
    <n v="4.7619047620000003"/>
    <n v="5.5305"/>
    <n v="8"/>
  </r>
  <r>
    <s v="378-24-2715"/>
    <s v="B"/>
    <s v="Mandalay"/>
    <x v="0"/>
    <s v="Male"/>
    <s v="Home and lifestyle"/>
    <n v="53.44"/>
    <n v="2"/>
    <n v="5.3440000000000003"/>
    <n v="112.224"/>
    <s v="1/20/2019"/>
    <d v="1899-12-30T20:38:00"/>
    <s v="Ewallet"/>
    <n v="106.88"/>
    <n v="4.7619047620000003"/>
    <n v="5.3440000000000003"/>
    <n v="4.0999999999999996"/>
  </r>
  <r>
    <s v="457-13-1708"/>
    <s v="B"/>
    <s v="Mandalay"/>
    <x v="1"/>
    <s v="Male"/>
    <s v="Fashion accessories"/>
    <n v="65.23"/>
    <n v="10"/>
    <n v="32.615000000000002"/>
    <n v="684.91499999999996"/>
    <s v="1/8/2019"/>
    <d v="1899-12-30T19:07:00"/>
    <s v="Credit card"/>
    <n v="652.29999999999995"/>
    <n v="4.7619047620000003"/>
    <n v="32.615000000000002"/>
    <n v="5.2"/>
  </r>
  <r>
    <s v="197-77-7132"/>
    <s v="B"/>
    <s v="Mandalay"/>
    <x v="1"/>
    <s v="Male"/>
    <s v="Electronic accessories"/>
    <n v="91.56"/>
    <n v="8"/>
    <n v="36.624000000000002"/>
    <n v="769.10400000000004"/>
    <s v="1/12/2019"/>
    <d v="1899-12-30T18:22:00"/>
    <s v="Ewallet"/>
    <n v="732.48"/>
    <n v="4.7619047620000003"/>
    <n v="36.624000000000002"/>
    <n v="6"/>
  </r>
  <r>
    <s v="219-22-9386"/>
    <s v="B"/>
    <s v="Mandalay"/>
    <x v="1"/>
    <s v="Male"/>
    <s v="Sports and travel"/>
    <n v="99.96"/>
    <n v="9"/>
    <n v="44.981999999999999"/>
    <n v="944.62199999999996"/>
    <s v="3/9/2019"/>
    <d v="1899-12-30T17:26:00"/>
    <s v="Credit card"/>
    <n v="899.64"/>
    <n v="4.7619047620000003"/>
    <n v="44.981999999999999"/>
    <n v="4.2"/>
  </r>
  <r>
    <s v="238-45-6950"/>
    <s v="B"/>
    <s v="Mandalay"/>
    <x v="1"/>
    <s v="Male"/>
    <s v="Food and beverages"/>
    <n v="53.72"/>
    <n v="1"/>
    <n v="2.6859999999999999"/>
    <n v="56.405999999999999"/>
    <s v="3/1/2019"/>
    <d v="1899-12-30T20:03:00"/>
    <s v="Ewallet"/>
    <n v="53.72"/>
    <n v="4.7619047620000003"/>
    <n v="2.6859999999999999"/>
    <n v="6.4"/>
  </r>
  <r>
    <s v="268-27-6179"/>
    <s v="B"/>
    <s v="Mandalay"/>
    <x v="1"/>
    <s v="Female"/>
    <s v="Fashion accessories"/>
    <n v="56.47"/>
    <n v="8"/>
    <n v="22.588000000000001"/>
    <n v="474.34800000000001"/>
    <s v="3/9/2019"/>
    <d v="1899-12-30T14:57:00"/>
    <s v="Ewallet"/>
    <n v="451.76"/>
    <n v="4.7619047620000003"/>
    <n v="22.588000000000001"/>
    <n v="7.3"/>
  </r>
  <r>
    <s v="438-23-1242"/>
    <s v="B"/>
    <s v="Mandalay"/>
    <x v="0"/>
    <s v="Male"/>
    <s v="Electronic accessories"/>
    <n v="75.88"/>
    <n v="7"/>
    <n v="26.558"/>
    <n v="557.71799999999996"/>
    <s v="1/24/2019"/>
    <d v="1899-12-30T10:38:00"/>
    <s v="Ewallet"/>
    <n v="531.16"/>
    <n v="4.7619047620000003"/>
    <n v="26.558"/>
    <n v="8.9"/>
  </r>
  <r>
    <s v="299-29-0180"/>
    <s v="B"/>
    <s v="Mandalay"/>
    <x v="1"/>
    <s v="Female"/>
    <s v="Home and lifestyle"/>
    <n v="52.18"/>
    <n v="7"/>
    <n v="18.263000000000002"/>
    <n v="383.52300000000002"/>
    <s v="3/9/2019"/>
    <d v="1899-12-30T10:54:00"/>
    <s v="Cash"/>
    <n v="365.26"/>
    <n v="4.7619047620000003"/>
    <n v="18.263000000000002"/>
    <n v="9.3000000000000007"/>
  </r>
  <r>
    <s v="174-64-0215"/>
    <s v="B"/>
    <s v="Mandalay"/>
    <x v="0"/>
    <s v="Male"/>
    <s v="Sports and travel"/>
    <n v="69.739999999999995"/>
    <n v="10"/>
    <n v="34.869999999999997"/>
    <n v="732.27"/>
    <s v="3/5/2019"/>
    <d v="1899-12-30T17:49:00"/>
    <s v="Credit card"/>
    <n v="697.4"/>
    <n v="4.7619047620000003"/>
    <n v="34.869999999999997"/>
    <n v="8.9"/>
  </r>
  <r>
    <s v="434-35-9162"/>
    <s v="B"/>
    <s v="Mandalay"/>
    <x v="1"/>
    <s v="Male"/>
    <s v="Food and beverages"/>
    <n v="23.34"/>
    <n v="4"/>
    <n v="4.6680000000000001"/>
    <n v="98.028000000000006"/>
    <s v="2/4/2019"/>
    <d v="1899-12-30T18:53:00"/>
    <s v="Ewallet"/>
    <n v="93.36"/>
    <n v="4.7619047620000003"/>
    <n v="4.6680000000000001"/>
    <n v="7.4"/>
  </r>
  <r>
    <s v="549-84-7482"/>
    <s v="B"/>
    <s v="Mandalay"/>
    <x v="0"/>
    <s v="Female"/>
    <s v="Sports and travel"/>
    <n v="90.28"/>
    <n v="9"/>
    <n v="40.625999999999998"/>
    <n v="853.14599999999996"/>
    <s v="2/8/2019"/>
    <d v="1899-12-30T11:15:00"/>
    <s v="Ewallet"/>
    <n v="812.52"/>
    <n v="4.7619047620000003"/>
    <n v="40.625999999999998"/>
    <n v="7.2"/>
  </r>
  <r>
    <s v="191-10-6171"/>
    <s v="B"/>
    <s v="Mandalay"/>
    <x v="0"/>
    <s v="Female"/>
    <s v="Fashion accessories"/>
    <n v="39.619999999999997"/>
    <n v="7"/>
    <n v="13.867000000000001"/>
    <n v="291.20699999999999"/>
    <s v="1/25/2019"/>
    <d v="1899-12-30T13:18:00"/>
    <s v="Cash"/>
    <n v="277.33999999999997"/>
    <n v="4.7619047620000003"/>
    <n v="13.867000000000001"/>
    <n v="7.5"/>
  </r>
  <r>
    <s v="776-68-1096"/>
    <s v="B"/>
    <s v="Mandalay"/>
    <x v="0"/>
    <s v="Male"/>
    <s v="Home and lifestyle"/>
    <n v="44.12"/>
    <n v="3"/>
    <n v="6.6180000000000003"/>
    <n v="138.97800000000001"/>
    <s v="3/18/2019"/>
    <d v="1899-12-30T13:45:00"/>
    <s v="Credit card"/>
    <n v="132.36000000000001"/>
    <n v="4.7619047620000003"/>
    <n v="6.6180000000000003"/>
    <n v="7.9"/>
  </r>
  <r>
    <s v="695-51-0018"/>
    <s v="B"/>
    <s v="Mandalay"/>
    <x v="0"/>
    <s v="Female"/>
    <s v="Sports and travel"/>
    <n v="34.840000000000003"/>
    <n v="4"/>
    <n v="6.968"/>
    <n v="146.328"/>
    <s v="2/10/2019"/>
    <d v="1899-12-30T18:36:00"/>
    <s v="Cash"/>
    <n v="139.36000000000001"/>
    <n v="4.7619047620000003"/>
    <n v="6.968"/>
    <n v="7.4"/>
  </r>
  <r>
    <s v="590-83-4591"/>
    <s v="B"/>
    <s v="Mandalay"/>
    <x v="1"/>
    <s v="Male"/>
    <s v="Electronic accessories"/>
    <n v="87.45"/>
    <n v="6"/>
    <n v="26.234999999999999"/>
    <n v="550.93499999999995"/>
    <s v="2/17/2019"/>
    <d v="1899-12-30T14:40:00"/>
    <s v="Credit card"/>
    <n v="524.70000000000005"/>
    <n v="4.7619047620000003"/>
    <n v="26.234999999999999"/>
    <n v="8.8000000000000007"/>
  </r>
  <r>
    <s v="418-05-0656"/>
    <s v="B"/>
    <s v="Mandalay"/>
    <x v="0"/>
    <s v="Female"/>
    <s v="Fashion accessories"/>
    <n v="25.56"/>
    <n v="7"/>
    <n v="8.9459999999999997"/>
    <n v="187.86600000000001"/>
    <s v="2/2/2019"/>
    <d v="1899-12-30T20:42:00"/>
    <s v="Cash"/>
    <n v="178.92"/>
    <n v="4.7619047620000003"/>
    <n v="8.9459999999999997"/>
    <n v="7.1"/>
  </r>
  <r>
    <s v="821-14-9046"/>
    <s v="B"/>
    <s v="Mandalay"/>
    <x v="1"/>
    <s v="Female"/>
    <s v="Fashion accessories"/>
    <n v="17.48"/>
    <n v="6"/>
    <n v="5.2439999999999998"/>
    <n v="110.124"/>
    <s v="1/18/2019"/>
    <d v="1899-12-30T15:04:00"/>
    <s v="Credit card"/>
    <n v="104.88"/>
    <n v="4.7619047620000003"/>
    <n v="5.2439999999999998"/>
    <n v="6.1"/>
  </r>
  <r>
    <s v="834-45-5519"/>
    <s v="B"/>
    <s v="Mandalay"/>
    <x v="0"/>
    <s v="Female"/>
    <s v="Electronic accessories"/>
    <n v="43"/>
    <n v="4"/>
    <n v="8.6"/>
    <n v="180.6"/>
    <s v="1/31/2019"/>
    <d v="1899-12-30T20:48:00"/>
    <s v="Ewallet"/>
    <n v="172"/>
    <n v="4.7619047620000003"/>
    <n v="8.6"/>
    <n v="7.6"/>
  </r>
  <r>
    <s v="186-79-9562"/>
    <s v="B"/>
    <s v="Mandalay"/>
    <x v="0"/>
    <s v="Male"/>
    <s v="Health and beauty"/>
    <n v="71.77"/>
    <n v="7"/>
    <n v="25.119499999999999"/>
    <n v="527.5095"/>
    <s v="3/29/2019"/>
    <d v="1899-12-30T14:06:00"/>
    <s v="Cash"/>
    <n v="502.39"/>
    <n v="4.7619047620000003"/>
    <n v="25.119499999999999"/>
    <n v="8.9"/>
  </r>
  <r>
    <s v="241-72-9525"/>
    <s v="B"/>
    <s v="Mandalay"/>
    <x v="0"/>
    <s v="Male"/>
    <s v="Sports and travel"/>
    <n v="51.91"/>
    <n v="10"/>
    <n v="25.954999999999998"/>
    <n v="545.05499999999995"/>
    <s v="2/16/2019"/>
    <d v="1899-12-30T12:21:00"/>
    <s v="Cash"/>
    <n v="519.1"/>
    <n v="4.7619047620000003"/>
    <n v="25.954999999999998"/>
    <n v="8.1999999999999993"/>
  </r>
  <r>
    <s v="640-48-5028"/>
    <s v="B"/>
    <s v="Mandalay"/>
    <x v="1"/>
    <s v="Female"/>
    <s v="Home and lifestyle"/>
    <n v="88.39"/>
    <n v="9"/>
    <n v="39.775500000000001"/>
    <n v="835.28549999999996"/>
    <s v="3/2/2019"/>
    <d v="1899-12-30T12:40:00"/>
    <s v="Cash"/>
    <n v="795.51"/>
    <n v="4.7619047620000003"/>
    <n v="39.775500000000001"/>
    <n v="6.3"/>
  </r>
  <r>
    <s v="729-06-2010"/>
    <s v="B"/>
    <s v="Mandalay"/>
    <x v="1"/>
    <s v="Male"/>
    <s v="Health and beauty"/>
    <n v="80.47"/>
    <n v="9"/>
    <n v="36.211500000000001"/>
    <n v="760.44150000000002"/>
    <s v="1/6/2019"/>
    <d v="1899-12-30T11:18:00"/>
    <s v="Cash"/>
    <n v="724.23"/>
    <n v="4.7619047620000003"/>
    <n v="36.211500000000001"/>
    <n v="9.1999999999999993"/>
  </r>
  <r>
    <s v="191-29-0321"/>
    <s v="B"/>
    <s v="Mandalay"/>
    <x v="1"/>
    <s v="Female"/>
    <s v="Fashion accessories"/>
    <n v="19.77"/>
    <n v="10"/>
    <n v="9.8849999999999998"/>
    <n v="207.58500000000001"/>
    <s v="2/27/2019"/>
    <d v="1899-12-30T18:57:00"/>
    <s v="Credit card"/>
    <n v="197.7"/>
    <n v="4.7619047620000003"/>
    <n v="9.8849999999999998"/>
    <n v="5"/>
  </r>
  <r>
    <s v="176-64-7711"/>
    <s v="B"/>
    <s v="Mandalay"/>
    <x v="0"/>
    <s v="Male"/>
    <s v="Food and beverages"/>
    <n v="32.32"/>
    <n v="3"/>
    <n v="4.8479999999999999"/>
    <n v="101.80800000000001"/>
    <s v="3/27/2019"/>
    <d v="1899-12-30T19:11:00"/>
    <s v="Credit card"/>
    <n v="96.96"/>
    <n v="4.7619047620000003"/>
    <n v="4.8479999999999999"/>
    <n v="4.3"/>
  </r>
  <r>
    <s v="826-58-8051"/>
    <s v="B"/>
    <s v="Mandalay"/>
    <x v="0"/>
    <s v="Male"/>
    <s v="Home and lifestyle"/>
    <n v="62.19"/>
    <n v="4"/>
    <n v="12.438000000000001"/>
    <n v="261.19799999999998"/>
    <s v="1/6/2019"/>
    <d v="1899-12-30T19:46:00"/>
    <s v="Ewallet"/>
    <n v="248.76"/>
    <n v="4.7619047620000003"/>
    <n v="12.438000000000001"/>
    <n v="4.3"/>
  </r>
  <r>
    <s v="767-97-4650"/>
    <s v="B"/>
    <s v="Mandalay"/>
    <x v="1"/>
    <s v="Female"/>
    <s v="Sports and travel"/>
    <n v="64.83"/>
    <n v="2"/>
    <n v="6.4829999999999997"/>
    <n v="136.143"/>
    <s v="1/8/2019"/>
    <d v="1899-12-30T11:59:00"/>
    <s v="Credit card"/>
    <n v="129.66"/>
    <n v="4.7619047620000003"/>
    <n v="6.4829999999999997"/>
    <n v="8"/>
  </r>
  <r>
    <s v="241-96-5076"/>
    <s v="B"/>
    <s v="Mandalay"/>
    <x v="1"/>
    <s v="Female"/>
    <s v="Home and lifestyle"/>
    <n v="49.1"/>
    <n v="2"/>
    <n v="4.91"/>
    <n v="103.11"/>
    <s v="1/8/2019"/>
    <d v="1899-12-30T12:58:00"/>
    <s v="Credit card"/>
    <n v="98.2"/>
    <n v="4.7619047620000003"/>
    <n v="4.91"/>
    <n v="6.4"/>
  </r>
  <r>
    <s v="510-79-0415"/>
    <s v="B"/>
    <s v="Mandalay"/>
    <x v="1"/>
    <s v="Female"/>
    <s v="Sports and travel"/>
    <n v="23.08"/>
    <n v="6"/>
    <n v="6.9240000000000004"/>
    <n v="145.404"/>
    <s v="1/24/2019"/>
    <d v="1899-12-30T19:20:00"/>
    <s v="Ewallet"/>
    <n v="138.47999999999999"/>
    <n v="4.7619047620000003"/>
    <n v="6.9240000000000004"/>
    <n v="4.9000000000000004"/>
  </r>
  <r>
    <s v="320-85-2052"/>
    <s v="B"/>
    <s v="Mandalay"/>
    <x v="0"/>
    <s v="Female"/>
    <s v="Sports and travel"/>
    <n v="34.81"/>
    <n v="1"/>
    <n v="1.7404999999999999"/>
    <n v="36.5505"/>
    <s v="1/14/2019"/>
    <d v="1899-12-30T10:11:00"/>
    <s v="Credit card"/>
    <n v="34.81"/>
    <n v="4.7619047620000003"/>
    <n v="1.7404999999999999"/>
    <n v="7"/>
  </r>
  <r>
    <s v="262-47-2794"/>
    <s v="B"/>
    <s v="Mandalay"/>
    <x v="1"/>
    <s v="Male"/>
    <s v="Home and lifestyle"/>
    <n v="71.86"/>
    <n v="8"/>
    <n v="28.744"/>
    <n v="603.62400000000002"/>
    <s v="3/6/2019"/>
    <d v="1899-12-30T15:07:00"/>
    <s v="Credit card"/>
    <n v="574.88"/>
    <n v="4.7619047620000003"/>
    <n v="28.744"/>
    <n v="6.2"/>
  </r>
  <r>
    <s v="528-87-5606"/>
    <s v="B"/>
    <s v="Mandalay"/>
    <x v="1"/>
    <s v="Female"/>
    <s v="Electronic accessories"/>
    <n v="39.479999999999997"/>
    <n v="1"/>
    <n v="1.974"/>
    <n v="41.454000000000001"/>
    <s v="2/12/2019"/>
    <d v="1899-12-30T19:43:00"/>
    <s v="Cash"/>
    <n v="39.479999999999997"/>
    <n v="4.7619047620000003"/>
    <n v="1.974"/>
    <n v="6.5"/>
  </r>
  <r>
    <s v="608-96-3517"/>
    <s v="B"/>
    <s v="Mandalay"/>
    <x v="1"/>
    <s v="Female"/>
    <s v="Fashion accessories"/>
    <n v="91.54"/>
    <n v="4"/>
    <n v="18.308"/>
    <n v="384.46800000000002"/>
    <s v="3/23/2019"/>
    <d v="1899-12-30T19:20:00"/>
    <s v="Credit card"/>
    <n v="366.16"/>
    <n v="4.7619047620000003"/>
    <n v="18.308"/>
    <n v="4.8"/>
  </r>
  <r>
    <s v="752-23-3760"/>
    <s v="B"/>
    <s v="Mandalay"/>
    <x v="1"/>
    <s v="Female"/>
    <s v="Sports and travel"/>
    <n v="64.08"/>
    <n v="7"/>
    <n v="22.428000000000001"/>
    <n v="470.988"/>
    <s v="2/19/2019"/>
    <d v="1899-12-30T19:29:00"/>
    <s v="Credit card"/>
    <n v="448.56"/>
    <n v="4.7619047620000003"/>
    <n v="22.428000000000001"/>
    <n v="7.3"/>
  </r>
  <r>
    <s v="242-11-3142"/>
    <s v="B"/>
    <s v="Mandalay"/>
    <x v="1"/>
    <s v="Male"/>
    <s v="Fashion accessories"/>
    <n v="83.77"/>
    <n v="2"/>
    <n v="8.3770000000000007"/>
    <n v="175.917"/>
    <s v="2/24/2019"/>
    <d v="1899-12-30T19:57:00"/>
    <s v="Cash"/>
    <n v="167.54"/>
    <n v="4.7619047620000003"/>
    <n v="8.3770000000000007"/>
    <n v="4.5999999999999996"/>
  </r>
  <r>
    <s v="576-31-4774"/>
    <s v="B"/>
    <s v="Mandalay"/>
    <x v="0"/>
    <s v="Female"/>
    <s v="Health and beauty"/>
    <n v="73.41"/>
    <n v="3"/>
    <n v="11.0115"/>
    <n v="231.2415"/>
    <s v="3/2/2019"/>
    <d v="1899-12-30T13:10:00"/>
    <s v="Ewallet"/>
    <n v="220.23"/>
    <n v="4.7619047620000003"/>
    <n v="11.0115"/>
    <n v="4"/>
  </r>
  <r>
    <s v="642-61-4706"/>
    <s v="B"/>
    <s v="Mandalay"/>
    <x v="1"/>
    <s v="Male"/>
    <s v="Food and beverages"/>
    <n v="93.4"/>
    <n v="2"/>
    <n v="9.34"/>
    <n v="196.14"/>
    <s v="3/30/2019"/>
    <d v="1899-12-30T16:34:00"/>
    <s v="Cash"/>
    <n v="186.8"/>
    <n v="4.7619047620000003"/>
    <n v="9.34"/>
    <n v="5.5"/>
  </r>
  <r>
    <s v="679-22-6530"/>
    <s v="B"/>
    <s v="Mandalay"/>
    <x v="0"/>
    <s v="Female"/>
    <s v="Sports and travel"/>
    <n v="40.619999999999997"/>
    <n v="2"/>
    <n v="4.0620000000000003"/>
    <n v="85.302000000000007"/>
    <s v="1/17/2019"/>
    <d v="1899-12-30T10:01:00"/>
    <s v="Credit card"/>
    <n v="81.239999999999995"/>
    <n v="4.7619047620000003"/>
    <n v="4.0620000000000003"/>
    <n v="4.0999999999999996"/>
  </r>
  <r>
    <s v="279-74-2924"/>
    <s v="B"/>
    <s v="Mandalay"/>
    <x v="1"/>
    <s v="Male"/>
    <s v="Electronic accessories"/>
    <n v="72.17"/>
    <n v="1"/>
    <n v="3.6084999999999998"/>
    <n v="75.778499999999994"/>
    <s v="1/4/2019"/>
    <d v="1899-12-30T19:40:00"/>
    <s v="Cash"/>
    <n v="72.17"/>
    <n v="4.7619047620000003"/>
    <n v="3.6084999999999998"/>
    <n v="6.1"/>
  </r>
  <r>
    <s v="307-85-2293"/>
    <s v="B"/>
    <s v="Mandalay"/>
    <x v="0"/>
    <s v="Male"/>
    <s v="Home and lifestyle"/>
    <n v="50.28"/>
    <n v="5"/>
    <n v="12.57"/>
    <n v="263.97000000000003"/>
    <s v="3/7/2019"/>
    <d v="1899-12-30T13:58:00"/>
    <s v="Ewallet"/>
    <n v="251.4"/>
    <n v="4.7619047620000003"/>
    <n v="12.57"/>
    <n v="9.6999999999999993"/>
  </r>
  <r>
    <s v="743-04-1105"/>
    <s v="B"/>
    <s v="Mandalay"/>
    <x v="1"/>
    <s v="Male"/>
    <s v="Health and beauty"/>
    <n v="97.22"/>
    <n v="9"/>
    <n v="43.749000000000002"/>
    <n v="918.72900000000004"/>
    <s v="3/30/2019"/>
    <d v="1899-12-30T14:43:00"/>
    <s v="Ewallet"/>
    <n v="874.98"/>
    <n v="4.7619047620000003"/>
    <n v="43.749000000000002"/>
    <n v="6"/>
  </r>
  <r>
    <s v="423-57-2993"/>
    <s v="B"/>
    <s v="Mandalay"/>
    <x v="0"/>
    <s v="Male"/>
    <s v="Sports and travel"/>
    <n v="93.39"/>
    <n v="6"/>
    <n v="28.016999999999999"/>
    <n v="588.35699999999997"/>
    <s v="3/27/2019"/>
    <d v="1899-12-30T19:18:00"/>
    <s v="Ewallet"/>
    <n v="560.34"/>
    <n v="4.7619047620000003"/>
    <n v="28.016999999999999"/>
    <n v="10"/>
  </r>
  <r>
    <s v="190-14-3147"/>
    <s v="B"/>
    <s v="Mandalay"/>
    <x v="0"/>
    <s v="Female"/>
    <s v="Health and beauty"/>
    <n v="17.97"/>
    <n v="4"/>
    <n v="3.5939999999999999"/>
    <n v="75.474000000000004"/>
    <s v="2/23/2019"/>
    <d v="1899-12-30T20:43:00"/>
    <s v="Ewallet"/>
    <n v="71.88"/>
    <n v="4.7619047620000003"/>
    <n v="3.5939999999999999"/>
    <n v="6.4"/>
  </r>
  <r>
    <s v="779-42-2410"/>
    <s v="B"/>
    <s v="Mandalay"/>
    <x v="1"/>
    <s v="Male"/>
    <s v="Food and beverages"/>
    <n v="57.74"/>
    <n v="3"/>
    <n v="8.6609999999999996"/>
    <n v="181.881"/>
    <s v="2/20/2019"/>
    <d v="1899-12-30T13:06:00"/>
    <s v="Ewallet"/>
    <n v="173.22"/>
    <n v="4.7619047620000003"/>
    <n v="8.6609999999999996"/>
    <n v="7.7"/>
  </r>
  <r>
    <s v="725-67-2480"/>
    <s v="B"/>
    <s v="Mandalay"/>
    <x v="1"/>
    <s v="Female"/>
    <s v="Fashion accessories"/>
    <n v="58.75"/>
    <n v="6"/>
    <n v="17.625"/>
    <n v="370.125"/>
    <s v="3/24/2019"/>
    <d v="1899-12-30T18:14:00"/>
    <s v="Credit card"/>
    <n v="352.5"/>
    <n v="4.7619047620000003"/>
    <n v="17.625"/>
    <n v="5.9"/>
  </r>
  <r>
    <s v="322-02-2271"/>
    <s v="B"/>
    <s v="Mandalay"/>
    <x v="0"/>
    <s v="Female"/>
    <s v="Sports and travel"/>
    <n v="42.97"/>
    <n v="3"/>
    <n v="6.4455"/>
    <n v="135.35550000000001"/>
    <s v="2/3/2019"/>
    <d v="1899-12-30T11:46:00"/>
    <s v="Cash"/>
    <n v="128.91"/>
    <n v="4.7619047620000003"/>
    <n v="6.4455"/>
    <n v="9.3000000000000007"/>
  </r>
  <r>
    <s v="548-46-9322"/>
    <s v="B"/>
    <s v="Mandalay"/>
    <x v="0"/>
    <s v="Male"/>
    <s v="Food and beverages"/>
    <n v="39.9"/>
    <n v="10"/>
    <n v="19.95"/>
    <n v="418.95"/>
    <s v="2/20/2019"/>
    <d v="1899-12-30T15:24:00"/>
    <s v="Credit card"/>
    <n v="399"/>
    <n v="4.7619047620000003"/>
    <n v="19.95"/>
    <n v="5.9"/>
  </r>
  <r>
    <s v="505-02-0892"/>
    <s v="B"/>
    <s v="Mandalay"/>
    <x v="1"/>
    <s v="Male"/>
    <s v="Health and beauty"/>
    <n v="42.57"/>
    <n v="8"/>
    <n v="17.027999999999999"/>
    <n v="357.58800000000002"/>
    <s v="2/25/2019"/>
    <d v="1899-12-30T14:12:00"/>
    <s v="Ewallet"/>
    <n v="340.56"/>
    <n v="4.7619047620000003"/>
    <n v="17.027999999999999"/>
    <n v="5.6"/>
  </r>
  <r>
    <s v="133-77-3154"/>
    <s v="B"/>
    <s v="Mandalay"/>
    <x v="1"/>
    <s v="Male"/>
    <s v="Fashion accessories"/>
    <n v="60.18"/>
    <n v="4"/>
    <n v="12.036"/>
    <n v="252.756"/>
    <s v="2/16/2019"/>
    <d v="1899-12-30T18:04:00"/>
    <s v="Credit card"/>
    <n v="240.72"/>
    <n v="4.7619047620000003"/>
    <n v="12.036"/>
    <n v="9.4"/>
  </r>
  <r>
    <s v="149-15-7606"/>
    <s v="B"/>
    <s v="Mandalay"/>
    <x v="1"/>
    <s v="Male"/>
    <s v="Sports and travel"/>
    <n v="37.32"/>
    <n v="9"/>
    <n v="16.794"/>
    <n v="352.67399999999998"/>
    <s v="3/6/2019"/>
    <d v="1899-12-30T15:31:00"/>
    <s v="Ewallet"/>
    <n v="335.88"/>
    <n v="4.7619047620000003"/>
    <n v="16.794"/>
    <n v="5.0999999999999996"/>
  </r>
  <r>
    <s v="563-47-4072"/>
    <s v="B"/>
    <s v="Mandalay"/>
    <x v="0"/>
    <s v="Female"/>
    <s v="Health and beauty"/>
    <n v="55.81"/>
    <n v="6"/>
    <n v="16.742999999999999"/>
    <n v="351.60300000000001"/>
    <s v="1/22/2019"/>
    <d v="1899-12-30T11:52:00"/>
    <s v="Cash"/>
    <n v="334.86"/>
    <n v="4.7619047620000003"/>
    <n v="16.742999999999999"/>
    <n v="9.9"/>
  </r>
  <r>
    <s v="369-82-2676"/>
    <s v="B"/>
    <s v="Mandalay"/>
    <x v="0"/>
    <s v="Male"/>
    <s v="Electronic accessories"/>
    <n v="75.66"/>
    <n v="5"/>
    <n v="18.914999999999999"/>
    <n v="397.21499999999997"/>
    <s v="1/15/2019"/>
    <d v="1899-12-30T18:22:00"/>
    <s v="Ewallet"/>
    <n v="378.3"/>
    <n v="4.7619047620000003"/>
    <n v="18.914999999999999"/>
    <n v="7.8"/>
  </r>
  <r>
    <s v="574-31-8277"/>
    <s v="B"/>
    <s v="Mandalay"/>
    <x v="1"/>
    <s v="Male"/>
    <s v="Fashion accessories"/>
    <n v="33.630000000000003"/>
    <n v="1"/>
    <n v="1.6815"/>
    <n v="35.311500000000002"/>
    <s v="3/20/2019"/>
    <d v="1899-12-30T19:55:00"/>
    <s v="Cash"/>
    <n v="33.630000000000003"/>
    <n v="4.7619047620000003"/>
    <n v="1.6815"/>
    <n v="5.6"/>
  </r>
  <r>
    <s v="316-55-4634"/>
    <s v="B"/>
    <s v="Mandalay"/>
    <x v="1"/>
    <s v="Male"/>
    <s v="Food and beverages"/>
    <n v="80.05"/>
    <n v="5"/>
    <n v="20.012499999999999"/>
    <n v="420.26249999999999"/>
    <s v="1/26/2019"/>
    <d v="1899-12-30T12:45:00"/>
    <s v="Credit card"/>
    <n v="400.25"/>
    <n v="4.7619047620000003"/>
    <n v="20.012499999999999"/>
    <n v="9.4"/>
  </r>
  <r>
    <s v="794-32-2436"/>
    <s v="B"/>
    <s v="Mandalay"/>
    <x v="1"/>
    <s v="Male"/>
    <s v="Electronic accessories"/>
    <n v="55.67"/>
    <n v="2"/>
    <n v="5.5670000000000002"/>
    <n v="116.907"/>
    <s v="3/27/2019"/>
    <d v="1899-12-30T15:08:00"/>
    <s v="Ewallet"/>
    <n v="111.34"/>
    <n v="4.7619047620000003"/>
    <n v="5.5670000000000002"/>
    <n v="6"/>
  </r>
  <r>
    <s v="608-27-6295"/>
    <s v="B"/>
    <s v="Mandalay"/>
    <x v="1"/>
    <s v="Male"/>
    <s v="Electronic accessories"/>
    <n v="52.89"/>
    <n v="6"/>
    <n v="15.867000000000001"/>
    <n v="333.20699999999999"/>
    <s v="1/19/2019"/>
    <d v="1899-12-30T17:34:00"/>
    <s v="Credit card"/>
    <n v="317.33999999999997"/>
    <n v="4.7619047620000003"/>
    <n v="15.867000000000001"/>
    <n v="9.8000000000000007"/>
  </r>
  <r>
    <s v="414-12-7047"/>
    <s v="B"/>
    <s v="Mandalay"/>
    <x v="0"/>
    <s v="Male"/>
    <s v="Food and beverages"/>
    <n v="19.79"/>
    <n v="8"/>
    <n v="7.9160000000000004"/>
    <n v="166.23599999999999"/>
    <s v="1/18/2019"/>
    <d v="1899-12-30T12:04:00"/>
    <s v="Ewallet"/>
    <n v="158.32"/>
    <n v="4.7619047620000003"/>
    <n v="7.9160000000000004"/>
    <n v="8.6999999999999993"/>
  </r>
  <r>
    <s v="695-09-5146"/>
    <s v="B"/>
    <s v="Mandalay"/>
    <x v="1"/>
    <s v="Female"/>
    <s v="Food and beverages"/>
    <n v="98.79"/>
    <n v="3"/>
    <n v="14.8185"/>
    <n v="311.18849999999998"/>
    <s v="2/23/2019"/>
    <d v="1899-12-30T20:00:00"/>
    <s v="Ewallet"/>
    <n v="296.37"/>
    <n v="4.7619047620000003"/>
    <n v="14.8185"/>
    <n v="6.4"/>
  </r>
  <r>
    <s v="665-63-9737"/>
    <s v="B"/>
    <s v="Mandalay"/>
    <x v="0"/>
    <s v="Male"/>
    <s v="Fashion accessories"/>
    <n v="52.42"/>
    <n v="3"/>
    <n v="7.8630000000000004"/>
    <n v="165.12299999999999"/>
    <s v="2/27/2019"/>
    <d v="1899-12-30T17:36:00"/>
    <s v="Ewallet"/>
    <n v="157.26"/>
    <n v="4.7619047620000003"/>
    <n v="7.8630000000000004"/>
    <n v="7.5"/>
  </r>
  <r>
    <s v="364-33-8584"/>
    <s v="B"/>
    <s v="Mandalay"/>
    <x v="1"/>
    <s v="Female"/>
    <s v="Food and beverages"/>
    <n v="17.63"/>
    <n v="5"/>
    <n v="4.4074999999999998"/>
    <n v="92.557500000000005"/>
    <s v="3/8/2019"/>
    <d v="1899-12-30T15:27:00"/>
    <s v="Cash"/>
    <n v="88.15"/>
    <n v="4.7619047620000003"/>
    <n v="4.4074999999999998"/>
    <n v="8.5"/>
  </r>
  <r>
    <s v="188-55-0967"/>
    <s v="B"/>
    <s v="Mandalay"/>
    <x v="1"/>
    <s v="Male"/>
    <s v="Health and beauty"/>
    <n v="66.47"/>
    <n v="10"/>
    <n v="33.234999999999999"/>
    <n v="697.93499999999995"/>
    <s v="1/15/2019"/>
    <d v="1899-12-30T15:01:00"/>
    <s v="Credit card"/>
    <n v="664.7"/>
    <n v="4.7619047620000003"/>
    <n v="33.234999999999999"/>
    <n v="5"/>
  </r>
  <r>
    <s v="182-88-2763"/>
    <s v="B"/>
    <s v="Mandalay"/>
    <x v="1"/>
    <s v="Male"/>
    <s v="Food and beverages"/>
    <n v="79.91"/>
    <n v="3"/>
    <n v="11.986499999999999"/>
    <n v="251.7165"/>
    <s v="3/20/2019"/>
    <d v="1899-12-30T19:28:00"/>
    <s v="Credit card"/>
    <n v="239.73"/>
    <n v="4.7619047620000003"/>
    <n v="11.986499999999999"/>
    <n v="5"/>
  </r>
  <r>
    <s v="420-04-7590"/>
    <s v="B"/>
    <s v="Mandalay"/>
    <x v="0"/>
    <s v="Male"/>
    <s v="Home and lifestyle"/>
    <n v="99.7"/>
    <n v="3"/>
    <n v="14.955"/>
    <n v="314.05500000000001"/>
    <s v="3/18/2019"/>
    <d v="1899-12-30T11:29:00"/>
    <s v="Ewallet"/>
    <n v="299.10000000000002"/>
    <n v="4.7619047620000003"/>
    <n v="14.955"/>
    <n v="4.7"/>
  </r>
  <r>
    <s v="628-90-8624"/>
    <s v="B"/>
    <s v="Mandalay"/>
    <x v="1"/>
    <s v="Male"/>
    <s v="Health and beauty"/>
    <n v="82.58"/>
    <n v="10"/>
    <n v="41.29"/>
    <n v="867.09"/>
    <s v="3/14/2019"/>
    <d v="1899-12-30T14:41:00"/>
    <s v="Cash"/>
    <n v="825.8"/>
    <n v="4.7619047620000003"/>
    <n v="41.29"/>
    <n v="5"/>
  </r>
  <r>
    <s v="135-13-8269"/>
    <s v="B"/>
    <s v="Mandalay"/>
    <x v="1"/>
    <s v="Female"/>
    <s v="Food and beverages"/>
    <n v="78.88"/>
    <n v="2"/>
    <n v="7.8879999999999999"/>
    <n v="165.648"/>
    <s v="1/26/2019"/>
    <d v="1899-12-30T16:04:00"/>
    <s v="Cash"/>
    <n v="157.76"/>
    <n v="4.7619047620000003"/>
    <n v="7.8879999999999999"/>
    <n v="9.1"/>
  </r>
  <r>
    <s v="598-06-7312"/>
    <s v="B"/>
    <s v="Mandalay"/>
    <x v="1"/>
    <s v="Male"/>
    <s v="Fashion accessories"/>
    <n v="91.35"/>
    <n v="1"/>
    <n v="4.5674999999999999"/>
    <n v="95.917500000000004"/>
    <s v="2/16/2019"/>
    <d v="1899-12-30T15:42:00"/>
    <s v="Cash"/>
    <n v="91.35"/>
    <n v="4.7619047620000003"/>
    <n v="4.5674999999999999"/>
    <n v="6.8"/>
  </r>
  <r>
    <s v="852-62-7105"/>
    <s v="B"/>
    <s v="Mandalay"/>
    <x v="0"/>
    <s v="Female"/>
    <s v="Fashion accessories"/>
    <n v="83.25"/>
    <n v="10"/>
    <n v="41.625"/>
    <n v="874.125"/>
    <s v="1/12/2019"/>
    <d v="1899-12-30T11:25:00"/>
    <s v="Credit card"/>
    <n v="832.5"/>
    <n v="4.7619047620000003"/>
    <n v="41.625"/>
    <n v="4.4000000000000004"/>
  </r>
  <r>
    <s v="895-66-0685"/>
    <s v="B"/>
    <s v="Mandalay"/>
    <x v="1"/>
    <s v="Male"/>
    <s v="Food and beverages"/>
    <n v="18.079999999999998"/>
    <n v="3"/>
    <n v="2.7120000000000002"/>
    <n v="56.951999999999998"/>
    <s v="3/5/2019"/>
    <d v="1899-12-30T19:46:00"/>
    <s v="Ewallet"/>
    <n v="54.24"/>
    <n v="4.7619047620000003"/>
    <n v="2.7120000000000002"/>
    <n v="8"/>
  </r>
  <r>
    <s v="305-14-0245"/>
    <s v="B"/>
    <s v="Mandalay"/>
    <x v="1"/>
    <s v="Female"/>
    <s v="Home and lifestyle"/>
    <n v="94.49"/>
    <n v="8"/>
    <n v="37.795999999999999"/>
    <n v="793.71600000000001"/>
    <s v="3/3/2019"/>
    <d v="1899-12-30T19:00:00"/>
    <s v="Ewallet"/>
    <n v="755.92"/>
    <n v="4.7619047620000003"/>
    <n v="37.795999999999999"/>
    <n v="7.5"/>
  </r>
  <r>
    <s v="732-04-5373"/>
    <s v="B"/>
    <s v="Mandalay"/>
    <x v="1"/>
    <s v="Male"/>
    <s v="Home and lifestyle"/>
    <n v="46.47"/>
    <n v="4"/>
    <n v="9.2940000000000005"/>
    <n v="195.17400000000001"/>
    <s v="2/8/2019"/>
    <d v="1899-12-30T10:53:00"/>
    <s v="Cash"/>
    <n v="185.88"/>
    <n v="4.7619047620000003"/>
    <n v="9.2940000000000005"/>
    <n v="7"/>
  </r>
  <r>
    <s v="670-79-6321"/>
    <s v="B"/>
    <s v="Mandalay"/>
    <x v="1"/>
    <s v="Female"/>
    <s v="Home and lifestyle"/>
    <n v="94.59"/>
    <n v="7"/>
    <n v="33.106499999999997"/>
    <n v="695.23649999999998"/>
    <s v="1/17/2019"/>
    <d v="1899-12-30T15:27:00"/>
    <s v="Credit card"/>
    <n v="662.13"/>
    <n v="4.7619047620000003"/>
    <n v="33.106499999999997"/>
    <n v="4.9000000000000004"/>
  </r>
  <r>
    <s v="327-40-9673"/>
    <s v="B"/>
    <s v="Mandalay"/>
    <x v="1"/>
    <s v="Male"/>
    <s v="Sports and travel"/>
    <n v="72.599999999999994"/>
    <n v="6"/>
    <n v="21.78"/>
    <n v="457.38"/>
    <s v="1/13/2019"/>
    <d v="1899-12-30T19:51:00"/>
    <s v="Cash"/>
    <n v="435.6"/>
    <n v="4.7619047620000003"/>
    <n v="21.78"/>
    <n v="6.9"/>
  </r>
  <r>
    <s v="284-34-9626"/>
    <s v="B"/>
    <s v="Mandalay"/>
    <x v="0"/>
    <s v="Female"/>
    <s v="Home and lifestyle"/>
    <n v="77.040000000000006"/>
    <n v="3"/>
    <n v="11.555999999999999"/>
    <n v="242.67599999999999"/>
    <s v="2/11/2019"/>
    <d v="1899-12-30T10:39:00"/>
    <s v="Credit card"/>
    <n v="231.12"/>
    <n v="4.7619047620000003"/>
    <n v="11.555999999999999"/>
    <n v="7.2"/>
  </r>
  <r>
    <s v="437-58-8131"/>
    <s v="B"/>
    <s v="Mandalay"/>
    <x v="0"/>
    <s v="Female"/>
    <s v="Fashion accessories"/>
    <n v="73.52"/>
    <n v="2"/>
    <n v="7.3520000000000003"/>
    <n v="154.392"/>
    <s v="1/15/2019"/>
    <d v="1899-12-30T13:41:00"/>
    <s v="Ewallet"/>
    <n v="147.04"/>
    <n v="4.7619047620000003"/>
    <n v="7.3520000000000003"/>
    <n v="4.5999999999999996"/>
  </r>
  <r>
    <s v="789-23-8625"/>
    <s v="B"/>
    <s v="Mandalay"/>
    <x v="1"/>
    <s v="Male"/>
    <s v="Fashion accessories"/>
    <n v="93.22"/>
    <n v="3"/>
    <n v="13.983000000000001"/>
    <n v="293.64299999999997"/>
    <s v="1/24/2019"/>
    <d v="1899-12-30T11:45:00"/>
    <s v="Cash"/>
    <n v="279.66000000000003"/>
    <n v="4.7619047620000003"/>
    <n v="13.983000000000001"/>
    <n v="7.2"/>
  </r>
  <r>
    <s v="641-43-2399"/>
    <s v="B"/>
    <s v="Mandalay"/>
    <x v="0"/>
    <s v="Male"/>
    <s v="Home and lifestyle"/>
    <n v="25.55"/>
    <n v="4"/>
    <n v="5.1100000000000003"/>
    <n v="107.31"/>
    <s v="1/26/2019"/>
    <d v="1899-12-30T20:23:00"/>
    <s v="Ewallet"/>
    <n v="102.2"/>
    <n v="4.7619047620000003"/>
    <n v="5.1100000000000003"/>
    <n v="5.7"/>
  </r>
  <r>
    <s v="349-97-8902"/>
    <s v="B"/>
    <s v="Mandalay"/>
    <x v="1"/>
    <s v="Male"/>
    <s v="Food and beverages"/>
    <n v="57.89"/>
    <n v="2"/>
    <n v="5.7889999999999997"/>
    <n v="121.569"/>
    <s v="1/17/2019"/>
    <d v="1899-12-30T10:37:00"/>
    <s v="Ewallet"/>
    <n v="115.78"/>
    <n v="4.7619047620000003"/>
    <n v="5.7889999999999997"/>
    <n v="8.9"/>
  </r>
  <r>
    <s v="830-58-2383"/>
    <s v="B"/>
    <s v="Mandalay"/>
    <x v="0"/>
    <s v="Male"/>
    <s v="Home and lifestyle"/>
    <n v="31.75"/>
    <n v="4"/>
    <n v="6.35"/>
    <n v="133.35"/>
    <s v="2/8/2019"/>
    <d v="1899-12-30T15:26:00"/>
    <s v="Cash"/>
    <n v="127"/>
    <n v="4.7619047620000003"/>
    <n v="6.35"/>
    <n v="8.6"/>
  </r>
  <r>
    <s v="642-30-6693"/>
    <s v="B"/>
    <s v="Mandalay"/>
    <x v="0"/>
    <s v="Female"/>
    <s v="Sports and travel"/>
    <n v="54.51"/>
    <n v="6"/>
    <n v="16.353000000000002"/>
    <n v="343.41300000000001"/>
    <s v="3/17/2019"/>
    <d v="1899-12-30T13:54:00"/>
    <s v="Ewallet"/>
    <n v="327.06"/>
    <n v="4.7619047620000003"/>
    <n v="16.353000000000002"/>
    <n v="7.8"/>
  </r>
  <r>
    <s v="470-31-3286"/>
    <s v="B"/>
    <s v="Mandalay"/>
    <x v="0"/>
    <s v="Male"/>
    <s v="Health and beauty"/>
    <n v="14.82"/>
    <n v="3"/>
    <n v="2.2229999999999999"/>
    <n v="46.683"/>
    <s v="3/1/2019"/>
    <d v="1899-12-30T11:30:00"/>
    <s v="Credit card"/>
    <n v="44.46"/>
    <n v="4.7619047620000003"/>
    <n v="2.2229999999999999"/>
    <n v="8.6999999999999993"/>
  </r>
  <r>
    <s v="585-11-6748"/>
    <s v="B"/>
    <s v="Mandalay"/>
    <x v="1"/>
    <s v="Male"/>
    <s v="Sports and travel"/>
    <n v="96.8"/>
    <n v="3"/>
    <n v="14.52"/>
    <n v="304.92"/>
    <s v="3/15/2019"/>
    <d v="1899-12-30T13:05:00"/>
    <s v="Cash"/>
    <n v="290.39999999999998"/>
    <n v="4.7619047620000003"/>
    <n v="14.52"/>
    <n v="5.3"/>
  </r>
  <r>
    <s v="375-72-3056"/>
    <s v="B"/>
    <s v="Mandalay"/>
    <x v="0"/>
    <s v="Male"/>
    <s v="Sports and travel"/>
    <n v="63.06"/>
    <n v="3"/>
    <n v="9.4589999999999996"/>
    <n v="198.63900000000001"/>
    <s v="1/19/2019"/>
    <d v="1899-12-30T15:58:00"/>
    <s v="Ewallet"/>
    <n v="189.18"/>
    <n v="4.7619047620000003"/>
    <n v="9.4589999999999996"/>
    <n v="7"/>
  </r>
  <r>
    <s v="359-90-3665"/>
    <s v="B"/>
    <s v="Mandalay"/>
    <x v="1"/>
    <s v="Female"/>
    <s v="Fashion accessories"/>
    <n v="18.079999999999998"/>
    <n v="4"/>
    <n v="3.6160000000000001"/>
    <n v="75.936000000000007"/>
    <s v="1/14/2019"/>
    <d v="1899-12-30T18:03:00"/>
    <s v="Credit card"/>
    <n v="72.319999999999993"/>
    <n v="4.7619047620000003"/>
    <n v="3.6160000000000001"/>
    <n v="9.5"/>
  </r>
  <r>
    <s v="542-41-0513"/>
    <s v="B"/>
    <s v="Mandalay"/>
    <x v="1"/>
    <s v="Female"/>
    <s v="Electronic accessories"/>
    <n v="57.49"/>
    <n v="4"/>
    <n v="11.497999999999999"/>
    <n v="241.458"/>
    <s v="3/15/2019"/>
    <d v="1899-12-30T11:57:00"/>
    <s v="Cash"/>
    <n v="229.96"/>
    <n v="4.7619047620000003"/>
    <n v="11.497999999999999"/>
    <n v="6.6"/>
  </r>
  <r>
    <s v="207-73-1363"/>
    <s v="B"/>
    <s v="Mandalay"/>
    <x v="0"/>
    <s v="Male"/>
    <s v="Health and beauty"/>
    <n v="69.510000000000005"/>
    <n v="2"/>
    <n v="6.9509999999999996"/>
    <n v="145.971"/>
    <s v="3/1/2019"/>
    <d v="1899-12-30T12:15:00"/>
    <s v="Ewallet"/>
    <n v="139.02000000000001"/>
    <n v="4.7619047620000003"/>
    <n v="6.9509999999999996"/>
    <n v="8.1"/>
  </r>
  <r>
    <s v="875-46-5808"/>
    <s v="B"/>
    <s v="Mandalay"/>
    <x v="1"/>
    <s v="Male"/>
    <s v="Health and beauty"/>
    <n v="25.9"/>
    <n v="10"/>
    <n v="12.95"/>
    <n v="271.95"/>
    <s v="2/6/2019"/>
    <d v="1899-12-30T14:51:00"/>
    <s v="Ewallet"/>
    <n v="259"/>
    <n v="4.7619047620000003"/>
    <n v="12.95"/>
    <n v="8.6999999999999993"/>
  </r>
  <r>
    <s v="394-43-4238"/>
    <s v="B"/>
    <s v="Mandalay"/>
    <x v="1"/>
    <s v="Male"/>
    <s v="Home and lifestyle"/>
    <n v="17.77"/>
    <n v="5"/>
    <n v="4.4424999999999999"/>
    <n v="93.292500000000004"/>
    <s v="2/15/2019"/>
    <d v="1899-12-30T12:42:00"/>
    <s v="Credit card"/>
    <n v="88.85"/>
    <n v="4.7619047620000003"/>
    <n v="4.4424999999999999"/>
    <n v="5.4"/>
  </r>
  <r>
    <s v="458-61-0011"/>
    <s v="B"/>
    <s v="Mandalay"/>
    <x v="0"/>
    <s v="Male"/>
    <s v="Food and beverages"/>
    <n v="60.3"/>
    <n v="4"/>
    <n v="12.06"/>
    <n v="253.26"/>
    <s v="2/20/2019"/>
    <d v="1899-12-30T18:43:00"/>
    <s v="Cash"/>
    <n v="241.2"/>
    <n v="4.7619047620000003"/>
    <n v="12.06"/>
    <n v="5.8"/>
  </r>
  <r>
    <s v="339-96-8318"/>
    <s v="B"/>
    <s v="Mandalay"/>
    <x v="1"/>
    <s v="Male"/>
    <s v="Fashion accessories"/>
    <n v="81.31"/>
    <n v="7"/>
    <n v="28.458500000000001"/>
    <n v="597.62850000000003"/>
    <s v="3/1/2019"/>
    <d v="1899-12-30T19:49:00"/>
    <s v="Ewallet"/>
    <n v="569.16999999999996"/>
    <n v="4.7619047620000003"/>
    <n v="28.458500000000001"/>
    <n v="6.3"/>
  </r>
  <r>
    <s v="355-34-6244"/>
    <s v="B"/>
    <s v="Mandalay"/>
    <x v="0"/>
    <s v="Male"/>
    <s v="Food and beverages"/>
    <n v="72.39"/>
    <n v="2"/>
    <n v="7.2389999999999999"/>
    <n v="152.01900000000001"/>
    <s v="1/13/2019"/>
    <d v="1899-12-30T19:55:00"/>
    <s v="Credit card"/>
    <n v="144.78"/>
    <n v="4.7619047620000003"/>
    <n v="7.2389999999999999"/>
    <n v="8.1"/>
  </r>
  <r>
    <s v="573-58-9734"/>
    <s v="B"/>
    <s v="Mandalay"/>
    <x v="0"/>
    <s v="Female"/>
    <s v="Fashion accessories"/>
    <n v="30.37"/>
    <n v="3"/>
    <n v="4.5555000000000003"/>
    <n v="95.665499999999994"/>
    <s v="3/28/2019"/>
    <d v="1899-12-30T13:41:00"/>
    <s v="Ewallet"/>
    <n v="91.11"/>
    <n v="4.7619047620000003"/>
    <n v="4.5555000000000003"/>
    <n v="5.0999999999999996"/>
  </r>
  <r>
    <s v="817-69-8206"/>
    <s v="B"/>
    <s v="Mandalay"/>
    <x v="0"/>
    <s v="Female"/>
    <s v="Electronic accessories"/>
    <n v="99.73"/>
    <n v="9"/>
    <n v="44.878500000000003"/>
    <n v="942.44849999999997"/>
    <s v="3/2/2019"/>
    <d v="1899-12-30T19:42:00"/>
    <s v="Credit card"/>
    <n v="897.57"/>
    <n v="4.7619047620000003"/>
    <n v="44.878500000000003"/>
    <n v="6.5"/>
  </r>
  <r>
    <s v="343-61-3544"/>
    <s v="B"/>
    <s v="Mandalay"/>
    <x v="1"/>
    <s v="Male"/>
    <s v="Sports and travel"/>
    <n v="26.67"/>
    <n v="10"/>
    <n v="13.335000000000001"/>
    <n v="280.03500000000003"/>
    <s v="1/29/2019"/>
    <d v="1899-12-30T11:48:00"/>
    <s v="Cash"/>
    <n v="266.7"/>
    <n v="4.7619047620000003"/>
    <n v="13.335000000000001"/>
    <n v="8.6"/>
  </r>
  <r>
    <s v="834-83-1826"/>
    <s v="B"/>
    <s v="Mandalay"/>
    <x v="1"/>
    <s v="Female"/>
    <s v="Home and lifestyle"/>
    <n v="82.04"/>
    <n v="5"/>
    <n v="20.51"/>
    <n v="430.71"/>
    <s v="2/25/2019"/>
    <d v="1899-12-30T17:16:00"/>
    <s v="Credit card"/>
    <n v="410.2"/>
    <n v="4.7619047620000003"/>
    <n v="20.51"/>
    <n v="7.6"/>
  </r>
  <r>
    <s v="142-63-6033"/>
    <s v="B"/>
    <s v="Mandalay"/>
    <x v="0"/>
    <s v="Male"/>
    <s v="Home and lifestyle"/>
    <n v="92.36"/>
    <n v="5"/>
    <n v="23.09"/>
    <n v="484.89"/>
    <s v="3/20/2019"/>
    <d v="1899-12-30T19:17:00"/>
    <s v="Ewallet"/>
    <n v="461.8"/>
    <n v="4.7619047620000003"/>
    <n v="23.09"/>
    <n v="4.9000000000000004"/>
  </r>
  <r>
    <s v="656-16-1063"/>
    <s v="B"/>
    <s v="Mandalay"/>
    <x v="0"/>
    <s v="Male"/>
    <s v="Sports and travel"/>
    <n v="46.42"/>
    <n v="3"/>
    <n v="6.9630000000000001"/>
    <n v="146.22300000000001"/>
    <s v="1/4/2019"/>
    <d v="1899-12-30T13:24:00"/>
    <s v="Credit card"/>
    <n v="139.26"/>
    <n v="4.7619047620000003"/>
    <n v="6.9630000000000001"/>
    <n v="4.4000000000000004"/>
  </r>
  <r>
    <s v="891-58-8335"/>
    <s v="B"/>
    <s v="Mandalay"/>
    <x v="1"/>
    <s v="Female"/>
    <s v="Sports and travel"/>
    <n v="29.61"/>
    <n v="7"/>
    <n v="10.3635"/>
    <n v="217.6335"/>
    <s v="3/11/2019"/>
    <d v="1899-12-30T15:53:00"/>
    <s v="Cash"/>
    <n v="207.27"/>
    <n v="4.7619047620000003"/>
    <n v="10.3635"/>
    <n v="6.5"/>
  </r>
  <r>
    <s v="241-11-2261"/>
    <s v="B"/>
    <s v="Mandalay"/>
    <x v="0"/>
    <s v="Female"/>
    <s v="Fashion accessories"/>
    <n v="79.86"/>
    <n v="7"/>
    <n v="27.951000000000001"/>
    <n v="586.971"/>
    <s v="1/10/2019"/>
    <d v="1899-12-30T10:33:00"/>
    <s v="Credit card"/>
    <n v="559.02"/>
    <n v="4.7619047620000003"/>
    <n v="27.951000000000001"/>
    <n v="5.5"/>
  </r>
  <r>
    <s v="560-30-5617"/>
    <s v="B"/>
    <s v="Mandalay"/>
    <x v="0"/>
    <s v="Female"/>
    <s v="Sports and travel"/>
    <n v="24.77"/>
    <n v="5"/>
    <n v="6.1924999999999999"/>
    <n v="130.04249999999999"/>
    <s v="3/24/2019"/>
    <d v="1899-12-30T18:27:00"/>
    <s v="Cash"/>
    <n v="123.85"/>
    <n v="4.7619047620000003"/>
    <n v="6.1924999999999999"/>
    <n v="8.5"/>
  </r>
  <r>
    <s v="514-37-2845"/>
    <s v="B"/>
    <s v="Mandalay"/>
    <x v="0"/>
    <s v="Male"/>
    <s v="Fashion accessories"/>
    <n v="99.25"/>
    <n v="2"/>
    <n v="9.9250000000000007"/>
    <n v="208.42500000000001"/>
    <s v="3/20/2019"/>
    <d v="1899-12-30T13:02:00"/>
    <s v="Cash"/>
    <n v="198.5"/>
    <n v="4.7619047620000003"/>
    <n v="9.9250000000000007"/>
    <n v="9"/>
  </r>
  <r>
    <s v="549-03-9315"/>
    <s v="B"/>
    <s v="Mandalay"/>
    <x v="0"/>
    <s v="Male"/>
    <s v="Fashion accessories"/>
    <n v="94.87"/>
    <n v="8"/>
    <n v="37.948"/>
    <n v="796.90800000000002"/>
    <s v="2/12/2019"/>
    <d v="1899-12-30T12:58:00"/>
    <s v="Ewallet"/>
    <n v="758.96"/>
    <n v="4.7619047620000003"/>
    <n v="37.948"/>
    <n v="8.6999999999999993"/>
  </r>
  <r>
    <s v="790-29-1172"/>
    <s v="B"/>
    <s v="Mandalay"/>
    <x v="0"/>
    <s v="Female"/>
    <s v="Food and beverages"/>
    <n v="57.34"/>
    <n v="3"/>
    <n v="8.6010000000000009"/>
    <n v="180.62100000000001"/>
    <s v="3/10/2019"/>
    <d v="1899-12-30T18:59:00"/>
    <s v="Credit card"/>
    <n v="172.02"/>
    <n v="4.7619047620000003"/>
    <n v="8.6010000000000009"/>
    <n v="7.9"/>
  </r>
  <r>
    <s v="239-36-3640"/>
    <s v="B"/>
    <s v="Mandalay"/>
    <x v="0"/>
    <s v="Male"/>
    <s v="Electronic accessories"/>
    <n v="45.35"/>
    <n v="6"/>
    <n v="13.605"/>
    <n v="285.70499999999998"/>
    <s v="1/31/2019"/>
    <d v="1899-12-30T13:44:00"/>
    <s v="Ewallet"/>
    <n v="272.10000000000002"/>
    <n v="4.7619047620000003"/>
    <n v="13.605"/>
    <n v="6.1"/>
  </r>
  <r>
    <s v="468-01-2051"/>
    <s v="B"/>
    <s v="Mandalay"/>
    <x v="0"/>
    <s v="Male"/>
    <s v="Food and beverages"/>
    <n v="62.08"/>
    <n v="7"/>
    <n v="21.728000000000002"/>
    <n v="456.28800000000001"/>
    <s v="3/6/2019"/>
    <d v="1899-12-30T13:46:00"/>
    <s v="Ewallet"/>
    <n v="434.56"/>
    <n v="4.7619047620000003"/>
    <n v="21.728000000000002"/>
    <n v="5.4"/>
  </r>
  <r>
    <s v="134-54-4720"/>
    <s v="B"/>
    <s v="Mandalay"/>
    <x v="0"/>
    <s v="Female"/>
    <s v="Electronic accessories"/>
    <n v="42.42"/>
    <n v="8"/>
    <n v="16.968"/>
    <n v="356.32799999999997"/>
    <s v="1/30/2019"/>
    <d v="1899-12-30T13:58:00"/>
    <s v="Ewallet"/>
    <n v="339.36"/>
    <n v="4.7619047620000003"/>
    <n v="16.968"/>
    <n v="5.7"/>
  </r>
  <r>
    <s v="174-75-0888"/>
    <s v="B"/>
    <s v="Mandalay"/>
    <x v="0"/>
    <s v="Male"/>
    <s v="Electronic accessories"/>
    <n v="21.58"/>
    <n v="9"/>
    <n v="9.7110000000000003"/>
    <n v="203.93100000000001"/>
    <s v="3/14/2019"/>
    <d v="1899-12-30T12:32:00"/>
    <s v="Cash"/>
    <n v="194.22"/>
    <n v="4.7619047620000003"/>
    <n v="9.7110000000000003"/>
    <n v="7.3"/>
  </r>
  <r>
    <s v="198-66-9832"/>
    <s v="B"/>
    <s v="Mandalay"/>
    <x v="1"/>
    <s v="Female"/>
    <s v="Fashion accessories"/>
    <n v="72.040000000000006"/>
    <n v="2"/>
    <n v="7.2039999999999997"/>
    <n v="151.28399999999999"/>
    <s v="2/4/2019"/>
    <d v="1899-12-30T19:38:00"/>
    <s v="Cash"/>
    <n v="144.08000000000001"/>
    <n v="4.7619047620000003"/>
    <n v="7.2039999999999997"/>
    <n v="9.5"/>
  </r>
  <r>
    <s v="356-44-8813"/>
    <s v="B"/>
    <s v="Mandalay"/>
    <x v="0"/>
    <s v="Male"/>
    <s v="Home and lifestyle"/>
    <n v="37.479999999999997"/>
    <n v="3"/>
    <n v="5.6219999999999999"/>
    <n v="118.062"/>
    <s v="1/20/2019"/>
    <d v="1899-12-30T13:45:00"/>
    <s v="Credit card"/>
    <n v="112.44"/>
    <n v="4.7619047620000003"/>
    <n v="5.6219999999999999"/>
    <n v="7.7"/>
  </r>
  <r>
    <s v="836-82-5858"/>
    <s v="B"/>
    <s v="Mandalay"/>
    <x v="1"/>
    <s v="Male"/>
    <s v="Health and beauty"/>
    <n v="69.37"/>
    <n v="9"/>
    <n v="31.2165"/>
    <n v="655.54650000000004"/>
    <s v="1/26/2019"/>
    <d v="1899-12-30T19:14:00"/>
    <s v="Ewallet"/>
    <n v="624.33000000000004"/>
    <n v="4.7619047620000003"/>
    <n v="31.2165"/>
    <n v="4"/>
  </r>
  <r>
    <s v="210-57-1719"/>
    <s v="B"/>
    <s v="Mandalay"/>
    <x v="0"/>
    <s v="Female"/>
    <s v="Health and beauty"/>
    <n v="58.24"/>
    <n v="9"/>
    <n v="26.207999999999998"/>
    <n v="550.36800000000005"/>
    <s v="2/5/2019"/>
    <d v="1899-12-30T12:34:00"/>
    <s v="Cash"/>
    <n v="524.16"/>
    <n v="4.7619047620000003"/>
    <n v="26.207999999999998"/>
    <n v="9.6999999999999993"/>
  </r>
  <r>
    <s v="466-61-5506"/>
    <s v="B"/>
    <s v="Mandalay"/>
    <x v="1"/>
    <s v="Female"/>
    <s v="Electronic accessories"/>
    <n v="90.7"/>
    <n v="6"/>
    <n v="27.21"/>
    <n v="571.41"/>
    <s v="2/26/2019"/>
    <d v="1899-12-30T10:52:00"/>
    <s v="Cash"/>
    <n v="544.20000000000005"/>
    <n v="4.7619047620000003"/>
    <n v="27.21"/>
    <n v="5.3"/>
  </r>
  <r>
    <s v="582-52-8065"/>
    <s v="B"/>
    <s v="Mandalay"/>
    <x v="0"/>
    <s v="Female"/>
    <s v="Fashion accessories"/>
    <n v="54.31"/>
    <n v="9"/>
    <n v="24.439499999999999"/>
    <n v="513.22950000000003"/>
    <s v="2/22/2019"/>
    <d v="1899-12-30T10:49:00"/>
    <s v="Cash"/>
    <n v="488.79"/>
    <n v="4.7619047620000003"/>
    <n v="24.439499999999999"/>
    <n v="8.9"/>
  </r>
  <r>
    <s v="289-65-5721"/>
    <s v="B"/>
    <s v="Mandalay"/>
    <x v="0"/>
    <s v="Female"/>
    <s v="Fashion accessories"/>
    <n v="81.37"/>
    <n v="2"/>
    <n v="8.1370000000000005"/>
    <n v="170.87700000000001"/>
    <s v="1/26/2019"/>
    <d v="1899-12-30T19:28:00"/>
    <s v="Cash"/>
    <n v="162.74"/>
    <n v="4.7619047620000003"/>
    <n v="8.1370000000000005"/>
    <n v="6.5"/>
  </r>
  <r>
    <s v="545-46-3100"/>
    <s v="B"/>
    <s v="Mandalay"/>
    <x v="1"/>
    <s v="Female"/>
    <s v="Electronic accessories"/>
    <n v="10.59"/>
    <n v="3"/>
    <n v="1.5885"/>
    <n v="33.358499999999999"/>
    <s v="3/12/2019"/>
    <d v="1899-12-30T13:52:00"/>
    <s v="Credit card"/>
    <n v="31.77"/>
    <n v="4.7619047620000003"/>
    <n v="1.5885"/>
    <n v="8.6999999999999993"/>
  </r>
  <r>
    <s v="418-02-5978"/>
    <s v="B"/>
    <s v="Mandalay"/>
    <x v="0"/>
    <s v="Female"/>
    <s v="Health and beauty"/>
    <n v="84.09"/>
    <n v="9"/>
    <n v="37.840499999999999"/>
    <n v="794.65049999999997"/>
    <s v="2/11/2019"/>
    <d v="1899-12-30T10:54:00"/>
    <s v="Cash"/>
    <n v="756.81"/>
    <n v="4.7619047620000003"/>
    <n v="37.840499999999999"/>
    <n v="8"/>
  </r>
  <r>
    <s v="269-04-5750"/>
    <s v="B"/>
    <s v="Mandalay"/>
    <x v="1"/>
    <s v="Male"/>
    <s v="Fashion accessories"/>
    <n v="73.819999999999993"/>
    <n v="4"/>
    <n v="14.763999999999999"/>
    <n v="310.04399999999998"/>
    <s v="2/21/2019"/>
    <d v="1899-12-30T18:31:00"/>
    <s v="Cash"/>
    <n v="295.27999999999997"/>
    <n v="4.7619047620000003"/>
    <n v="14.763999999999999"/>
    <n v="6.7"/>
  </r>
  <r>
    <s v="747-58-7183"/>
    <s v="B"/>
    <s v="Mandalay"/>
    <x v="0"/>
    <s v="Male"/>
    <s v="Fashion accessories"/>
    <n v="57.27"/>
    <n v="3"/>
    <n v="8.5905000000000005"/>
    <n v="180.40049999999999"/>
    <s v="2/9/2019"/>
    <d v="1899-12-30T20:31:00"/>
    <s v="Ewallet"/>
    <n v="171.81"/>
    <n v="4.7619047620000003"/>
    <n v="8.5905000000000005"/>
    <n v="6.5"/>
  </r>
  <r>
    <s v="539-21-7227"/>
    <s v="B"/>
    <s v="Mandalay"/>
    <x v="0"/>
    <s v="Female"/>
    <s v="Sports and travel"/>
    <n v="51.54"/>
    <n v="5"/>
    <n v="12.885"/>
    <n v="270.58499999999998"/>
    <s v="1/26/2019"/>
    <d v="1899-12-30T17:45:00"/>
    <s v="Cash"/>
    <n v="257.7"/>
    <n v="4.7619047620000003"/>
    <n v="12.885"/>
    <n v="4.2"/>
  </r>
  <r>
    <s v="701-23-5550"/>
    <s v="B"/>
    <s v="Mandalay"/>
    <x v="1"/>
    <s v="Male"/>
    <s v="Home and lifestyle"/>
    <n v="38.81"/>
    <n v="4"/>
    <n v="7.7619999999999996"/>
    <n v="163.00200000000001"/>
    <s v="3/19/2019"/>
    <d v="1899-12-30T13:40:00"/>
    <s v="Ewallet"/>
    <n v="155.24"/>
    <n v="4.7619047620000003"/>
    <n v="7.7619999999999996"/>
    <n v="4.9000000000000004"/>
  </r>
  <r>
    <s v="841-18-8232"/>
    <s v="B"/>
    <s v="Mandalay"/>
    <x v="0"/>
    <s v="Female"/>
    <s v="Food and beverages"/>
    <n v="71.2"/>
    <n v="1"/>
    <n v="3.56"/>
    <n v="74.760000000000005"/>
    <s v="1/5/2019"/>
    <d v="1899-12-30T20:40:00"/>
    <s v="Credit card"/>
    <n v="71.2"/>
    <n v="4.7619047620000003"/>
    <n v="3.56"/>
    <n v="9.1999999999999993"/>
  </r>
  <r>
    <s v="346-84-3103"/>
    <s v="B"/>
    <s v="Mandalay"/>
    <x v="1"/>
    <s v="Female"/>
    <s v="Electronic accessories"/>
    <n v="13.22"/>
    <n v="5"/>
    <n v="3.3050000000000002"/>
    <n v="69.405000000000001"/>
    <s v="3/2/2019"/>
    <d v="1899-12-30T19:26:00"/>
    <s v="Cash"/>
    <n v="66.099999999999994"/>
    <n v="4.7619047620000003"/>
    <n v="3.3050000000000002"/>
    <n v="4.3"/>
  </r>
  <r>
    <s v="173-50-1108"/>
    <s v="B"/>
    <s v="Mandalay"/>
    <x v="1"/>
    <s v="Female"/>
    <s v="Sports and travel"/>
    <n v="20.18"/>
    <n v="4"/>
    <n v="4.0359999999999996"/>
    <n v="84.756"/>
    <s v="2/13/2019"/>
    <d v="1899-12-30T12:14:00"/>
    <s v="Credit card"/>
    <n v="80.72"/>
    <n v="4.7619047620000003"/>
    <n v="4.0359999999999996"/>
    <n v="5"/>
  </r>
  <r>
    <s v="339-12-4827"/>
    <s v="B"/>
    <s v="Mandalay"/>
    <x v="1"/>
    <s v="Female"/>
    <s v="Fashion accessories"/>
    <n v="73.959999999999994"/>
    <n v="1"/>
    <n v="3.698"/>
    <n v="77.658000000000001"/>
    <s v="1/5/2019"/>
    <d v="1899-12-30T11:32:00"/>
    <s v="Credit card"/>
    <n v="73.959999999999994"/>
    <n v="4.7619047620000003"/>
    <n v="3.698"/>
    <n v="5"/>
  </r>
  <r>
    <s v="857-67-9057"/>
    <s v="B"/>
    <s v="Mandalay"/>
    <x v="0"/>
    <s v="Male"/>
    <s v="Electronic accessories"/>
    <n v="22.95"/>
    <n v="10"/>
    <n v="11.475"/>
    <n v="240.97499999999999"/>
    <s v="2/6/2019"/>
    <d v="1899-12-30T19:20:00"/>
    <s v="Ewallet"/>
    <n v="229.5"/>
    <n v="4.7619047620000003"/>
    <n v="11.475"/>
    <n v="8.1999999999999993"/>
  </r>
  <r>
    <s v="827-44-5872"/>
    <s v="B"/>
    <s v="Mandalay"/>
    <x v="1"/>
    <s v="Female"/>
    <s v="Food and beverages"/>
    <n v="54.36"/>
    <n v="10"/>
    <n v="27.18"/>
    <n v="570.78"/>
    <s v="2/7/2019"/>
    <d v="1899-12-30T11:28:00"/>
    <s v="Credit card"/>
    <n v="543.6"/>
    <n v="4.7619047620000003"/>
    <n v="27.18"/>
    <n v="6.1"/>
  </r>
  <r>
    <s v="339-38-9982"/>
    <s v="B"/>
    <s v="Mandalay"/>
    <x v="1"/>
    <s v="Male"/>
    <s v="Fashion accessories"/>
    <n v="59.86"/>
    <n v="2"/>
    <n v="5.9859999999999998"/>
    <n v="125.706"/>
    <s v="1/13/2019"/>
    <d v="1899-12-30T14:55:00"/>
    <s v="Ewallet"/>
    <n v="119.72"/>
    <n v="4.7619047620000003"/>
    <n v="5.9859999999999998"/>
    <n v="6.7"/>
  </r>
  <r>
    <s v="376-02-8238"/>
    <s v="B"/>
    <s v="Mandalay"/>
    <x v="0"/>
    <s v="Male"/>
    <s v="Home and lifestyle"/>
    <n v="93.87"/>
    <n v="8"/>
    <n v="37.548000000000002"/>
    <n v="788.50800000000004"/>
    <s v="2/2/2019"/>
    <d v="1899-12-30T18:42:00"/>
    <s v="Credit card"/>
    <n v="750.96"/>
    <n v="4.7619047620000003"/>
    <n v="37.548000000000002"/>
    <n v="8.3000000000000007"/>
  </r>
  <r>
    <s v="286-62-6248"/>
    <s v="B"/>
    <s v="Mandalay"/>
    <x v="0"/>
    <s v="Male"/>
    <s v="Fashion accessories"/>
    <n v="39.21"/>
    <n v="4"/>
    <n v="7.8419999999999996"/>
    <n v="164.68199999999999"/>
    <s v="1/16/2019"/>
    <d v="1899-12-30T20:03:00"/>
    <s v="Credit card"/>
    <n v="156.84"/>
    <n v="4.7619047620000003"/>
    <n v="7.8419999999999996"/>
    <n v="9"/>
  </r>
  <r>
    <s v="866-05-7563"/>
    <s v="B"/>
    <s v="Mandalay"/>
    <x v="1"/>
    <s v="Female"/>
    <s v="Electronic accessories"/>
    <n v="81.400000000000006"/>
    <n v="3"/>
    <n v="12.21"/>
    <n v="256.41000000000003"/>
    <s v="2/9/2019"/>
    <d v="1899-12-30T19:43:00"/>
    <s v="Cash"/>
    <n v="244.2"/>
    <n v="4.7619047620000003"/>
    <n v="12.21"/>
    <n v="4.8"/>
  </r>
  <r>
    <s v="734-91-1155"/>
    <s v="B"/>
    <s v="Mandalay"/>
    <x v="0"/>
    <s v="Female"/>
    <s v="Electronic accessories"/>
    <n v="45.71"/>
    <n v="3"/>
    <n v="6.8564999999999996"/>
    <n v="143.98650000000001"/>
    <s v="3/26/2019"/>
    <d v="1899-12-30T10:34:00"/>
    <s v="Credit card"/>
    <n v="137.13"/>
    <n v="4.7619047620000003"/>
    <n v="6.8564999999999996"/>
    <n v="7.7"/>
  </r>
  <r>
    <s v="425-85-2085"/>
    <s v="B"/>
    <s v="Mandalay"/>
    <x v="1"/>
    <s v="Male"/>
    <s v="Health and beauty"/>
    <n v="54.86"/>
    <n v="5"/>
    <n v="13.715"/>
    <n v="288.01499999999999"/>
    <s v="3/29/2019"/>
    <d v="1899-12-30T16:48:00"/>
    <s v="Ewallet"/>
    <n v="274.3"/>
    <n v="4.7619047620000003"/>
    <n v="13.715"/>
    <n v="9.8000000000000007"/>
  </r>
  <r>
    <s v="785-13-7708"/>
    <s v="B"/>
    <s v="Mandalay"/>
    <x v="0"/>
    <s v="Male"/>
    <s v="Food and beverages"/>
    <n v="73.06"/>
    <n v="7"/>
    <n v="25.571000000000002"/>
    <n v="536.99099999999999"/>
    <s v="1/14/2019"/>
    <d v="1899-12-30T19:06:00"/>
    <s v="Credit card"/>
    <n v="511.42"/>
    <n v="4.7619047620000003"/>
    <n v="25.571000000000002"/>
    <n v="4.2"/>
  </r>
  <r>
    <s v="845-51-0542"/>
    <s v="B"/>
    <s v="Mandalay"/>
    <x v="1"/>
    <s v="Male"/>
    <s v="Food and beverages"/>
    <n v="46.55"/>
    <n v="9"/>
    <n v="20.947500000000002"/>
    <n v="439.89749999999998"/>
    <s v="2/2/2019"/>
    <d v="1899-12-30T15:34:00"/>
    <s v="Ewallet"/>
    <n v="418.95"/>
    <n v="4.7619047620000003"/>
    <n v="20.947500000000002"/>
    <n v="6.4"/>
  </r>
  <r>
    <s v="347-72-6115"/>
    <s v="B"/>
    <s v="Mandalay"/>
    <x v="1"/>
    <s v="Female"/>
    <s v="Sports and travel"/>
    <n v="90.74"/>
    <n v="7"/>
    <n v="31.759"/>
    <n v="666.93899999999996"/>
    <s v="1/16/2019"/>
    <d v="1899-12-30T18:03:00"/>
    <s v="Credit card"/>
    <n v="635.17999999999995"/>
    <n v="4.7619047620000003"/>
    <n v="31.759"/>
    <n v="6.2"/>
  </r>
  <r>
    <s v="291-21-5991"/>
    <s v="B"/>
    <s v="Mandalay"/>
    <x v="1"/>
    <s v="Male"/>
    <s v="Health and beauty"/>
    <n v="61.29"/>
    <n v="5"/>
    <n v="15.3225"/>
    <n v="321.77249999999998"/>
    <s v="3/29/2019"/>
    <d v="1899-12-30T14:28:00"/>
    <s v="Cash"/>
    <n v="306.45"/>
    <n v="4.7619047620000003"/>
    <n v="15.3225"/>
    <n v="7"/>
  </r>
  <r>
    <s v="862-17-9201"/>
    <s v="B"/>
    <s v="Mandalay"/>
    <x v="0"/>
    <s v="Female"/>
    <s v="Food and beverages"/>
    <n v="84.05"/>
    <n v="6"/>
    <n v="25.215"/>
    <n v="529.51499999999999"/>
    <s v="1/29/2019"/>
    <d v="1899-12-30T10:48:00"/>
    <s v="Credit card"/>
    <n v="504.3"/>
    <n v="4.7619047620000003"/>
    <n v="25.215"/>
    <n v="7.7"/>
  </r>
  <r>
    <s v="387-49-4215"/>
    <s v="B"/>
    <s v="Mandalay"/>
    <x v="1"/>
    <s v="Female"/>
    <s v="Sports and travel"/>
    <n v="48.5"/>
    <n v="3"/>
    <n v="7.2750000000000004"/>
    <n v="152.77500000000001"/>
    <s v="1/8/2019"/>
    <d v="1899-12-30T12:50:00"/>
    <s v="Cash"/>
    <n v="145.5"/>
    <n v="4.7619047620000003"/>
    <n v="7.2750000000000004"/>
    <n v="6.7"/>
  </r>
  <r>
    <s v="110-48-7033"/>
    <s v="B"/>
    <s v="Mandalay"/>
    <x v="1"/>
    <s v="Male"/>
    <s v="Fashion accessories"/>
    <n v="32.619999999999997"/>
    <n v="4"/>
    <n v="6.524"/>
    <n v="137.00399999999999"/>
    <s v="1/29/2019"/>
    <d v="1899-12-30T14:12:00"/>
    <s v="Cash"/>
    <n v="130.47999999999999"/>
    <n v="4.7619047620000003"/>
    <n v="6.524"/>
    <n v="9"/>
  </r>
  <r>
    <s v="511-54-3087"/>
    <s v="B"/>
    <s v="Mandalay"/>
    <x v="0"/>
    <s v="Male"/>
    <s v="Sports and travel"/>
    <n v="88.45"/>
    <n v="1"/>
    <n v="4.4225000000000003"/>
    <n v="92.872500000000002"/>
    <s v="2/25/2019"/>
    <d v="1899-12-30T16:36:00"/>
    <s v="Credit card"/>
    <n v="88.45"/>
    <n v="4.7619047620000003"/>
    <n v="4.4225000000000003"/>
    <n v="9.5"/>
  </r>
  <r>
    <s v="282-35-2475"/>
    <s v="B"/>
    <s v="Mandalay"/>
    <x v="0"/>
    <s v="Female"/>
    <s v="Sports and travel"/>
    <n v="93.31"/>
    <n v="2"/>
    <n v="9.3309999999999995"/>
    <n v="195.95099999999999"/>
    <s v="3/25/2019"/>
    <d v="1899-12-30T17:53:00"/>
    <s v="Cash"/>
    <n v="186.62"/>
    <n v="4.7619047620000003"/>
    <n v="9.3309999999999995"/>
    <n v="6.3"/>
  </r>
  <r>
    <s v="277-63-2961"/>
    <s v="B"/>
    <s v="Mandalay"/>
    <x v="1"/>
    <s v="Male"/>
    <s v="Sports and travel"/>
    <n v="73.97"/>
    <n v="1"/>
    <n v="3.6985000000000001"/>
    <n v="77.668499999999995"/>
    <s v="2/3/2019"/>
    <d v="1899-12-30T15:53:00"/>
    <s v="Credit card"/>
    <n v="73.97"/>
    <n v="4.7619047620000003"/>
    <n v="3.6985000000000001"/>
    <n v="5.4"/>
  </r>
  <r>
    <s v="401-18-8016"/>
    <s v="B"/>
    <s v="Mandalay"/>
    <x v="1"/>
    <s v="Female"/>
    <s v="Sports and travel"/>
    <n v="98.13"/>
    <n v="1"/>
    <n v="4.9065000000000003"/>
    <n v="103.0365"/>
    <s v="1/21/2019"/>
    <d v="1899-12-30T17:36:00"/>
    <s v="Cash"/>
    <n v="98.13"/>
    <n v="4.7619047620000003"/>
    <n v="4.9065000000000003"/>
    <n v="8.9"/>
  </r>
  <r>
    <s v="632-32-4574"/>
    <s v="B"/>
    <s v="Mandalay"/>
    <x v="0"/>
    <s v="Male"/>
    <s v="Sports and travel"/>
    <n v="75.92"/>
    <n v="8"/>
    <n v="30.367999999999999"/>
    <n v="637.72799999999995"/>
    <s v="3/20/2019"/>
    <d v="1899-12-30T14:14:00"/>
    <s v="Cash"/>
    <n v="607.36"/>
    <n v="4.7619047620000003"/>
    <n v="30.367999999999999"/>
    <n v="5.5"/>
  </r>
  <r>
    <s v="437-53-3084"/>
    <s v="B"/>
    <s v="Mandalay"/>
    <x v="0"/>
    <s v="Male"/>
    <s v="Fashion accessories"/>
    <n v="99.89"/>
    <n v="2"/>
    <n v="9.9890000000000008"/>
    <n v="209.76900000000001"/>
    <s v="2/26/2019"/>
    <d v="1899-12-30T11:48:00"/>
    <s v="Ewallet"/>
    <n v="199.78"/>
    <n v="4.7619047620000003"/>
    <n v="9.9890000000000008"/>
    <n v="7.1"/>
  </r>
  <r>
    <s v="655-85-5130"/>
    <s v="B"/>
    <s v="Mandalay"/>
    <x v="1"/>
    <s v="Female"/>
    <s v="Fashion accessories"/>
    <n v="38.299999999999997"/>
    <n v="4"/>
    <n v="7.66"/>
    <n v="160.86000000000001"/>
    <s v="3/13/2019"/>
    <d v="1899-12-30T19:22:00"/>
    <s v="Cash"/>
    <n v="153.19999999999999"/>
    <n v="4.7619047620000003"/>
    <n v="7.66"/>
    <n v="5.7"/>
  </r>
  <r>
    <s v="608-04-3797"/>
    <s v="B"/>
    <s v="Mandalay"/>
    <x v="1"/>
    <s v="Female"/>
    <s v="Health and beauty"/>
    <n v="25.32"/>
    <n v="8"/>
    <n v="10.128"/>
    <n v="212.68799999999999"/>
    <s v="3/5/2019"/>
    <d v="1899-12-30T20:24:00"/>
    <s v="Ewallet"/>
    <n v="202.56"/>
    <n v="4.7619047620000003"/>
    <n v="10.128"/>
    <n v="8.6999999999999993"/>
  </r>
  <r>
    <s v="154-74-7179"/>
    <s v="B"/>
    <s v="Mandalay"/>
    <x v="0"/>
    <s v="Male"/>
    <s v="Sports and travel"/>
    <n v="54.45"/>
    <n v="1"/>
    <n v="2.7225000000000001"/>
    <n v="57.172499999999999"/>
    <s v="2/26/2019"/>
    <d v="1899-12-30T19:24:00"/>
    <s v="Ewallet"/>
    <n v="54.45"/>
    <n v="4.7619047620000003"/>
    <n v="2.7225000000000001"/>
    <n v="7.9"/>
  </r>
  <r>
    <s v="686-41-0932"/>
    <s v="B"/>
    <s v="Mandalay"/>
    <x v="0"/>
    <s v="Female"/>
    <s v="Fashion accessories"/>
    <n v="34.700000000000003"/>
    <n v="2"/>
    <n v="3.47"/>
    <n v="72.87"/>
    <s v="3/13/2019"/>
    <d v="1899-12-30T19:48:00"/>
    <s v="Ewallet"/>
    <n v="69.400000000000006"/>
    <n v="4.7619047620000003"/>
    <n v="3.47"/>
    <n v="8.1999999999999993"/>
  </r>
  <r>
    <s v="627-95-3243"/>
    <s v="B"/>
    <s v="Mandalay"/>
    <x v="1"/>
    <s v="Female"/>
    <s v="Home and lifestyle"/>
    <n v="77.680000000000007"/>
    <n v="9"/>
    <n v="34.956000000000003"/>
    <n v="734.07600000000002"/>
    <s v="2/4/2019"/>
    <d v="1899-12-30T13:21:00"/>
    <s v="Ewallet"/>
    <n v="699.12"/>
    <n v="4.7619047620000003"/>
    <n v="34.956000000000003"/>
    <n v="9.8000000000000007"/>
  </r>
  <r>
    <s v="571-94-0759"/>
    <s v="B"/>
    <s v="Mandalay"/>
    <x v="1"/>
    <s v="Female"/>
    <s v="Food and beverages"/>
    <n v="74.599999999999994"/>
    <n v="10"/>
    <n v="37.299999999999997"/>
    <n v="783.3"/>
    <s v="1/8/2019"/>
    <d v="1899-12-30T20:55:00"/>
    <s v="Cash"/>
    <n v="746"/>
    <n v="4.7619047620000003"/>
    <n v="37.299999999999997"/>
    <n v="9.5"/>
  </r>
  <r>
    <s v="709-58-4068"/>
    <s v="B"/>
    <s v="Mandalay"/>
    <x v="0"/>
    <s v="Female"/>
    <s v="Fashion accessories"/>
    <n v="41.09"/>
    <n v="10"/>
    <n v="20.545000000000002"/>
    <n v="431.44499999999999"/>
    <s v="2/28/2019"/>
    <d v="1899-12-30T14:42:00"/>
    <s v="Cash"/>
    <n v="410.9"/>
    <n v="4.7619047620000003"/>
    <n v="20.545000000000002"/>
    <n v="7.3"/>
  </r>
  <r>
    <s v="438-01-4015"/>
    <s v="B"/>
    <s v="Mandalay"/>
    <x v="1"/>
    <s v="Female"/>
    <s v="Sports and travel"/>
    <n v="49.49"/>
    <n v="4"/>
    <n v="9.8979999999999997"/>
    <n v="207.858"/>
    <s v="3/21/2019"/>
    <d v="1899-12-30T15:25:00"/>
    <s v="Ewallet"/>
    <n v="197.96"/>
    <n v="4.7619047620000003"/>
    <n v="9.8979999999999997"/>
    <n v="6.6"/>
  </r>
  <r>
    <s v="783-09-1637"/>
    <s v="B"/>
    <s v="Mandalay"/>
    <x v="0"/>
    <s v="Female"/>
    <s v="Sports and travel"/>
    <n v="67.430000000000007"/>
    <n v="5"/>
    <n v="16.857500000000002"/>
    <n v="354.00749999999999"/>
    <s v="3/6/2019"/>
    <d v="1899-12-30T18:13:00"/>
    <s v="Ewallet"/>
    <n v="337.15"/>
    <n v="4.7619047620000003"/>
    <n v="16.857500000000002"/>
    <n v="6.3"/>
  </r>
  <r>
    <s v="305-18-3552"/>
    <s v="B"/>
    <s v="Mandalay"/>
    <x v="1"/>
    <s v="Male"/>
    <s v="Home and lifestyle"/>
    <n v="60.38"/>
    <n v="10"/>
    <n v="30.19"/>
    <n v="633.99"/>
    <s v="2/12/2019"/>
    <d v="1899-12-30T16:19:00"/>
    <s v="Cash"/>
    <n v="603.79999999999995"/>
    <n v="4.7619047620000003"/>
    <n v="30.19"/>
    <n v="6"/>
  </r>
  <r>
    <s v="701-69-8742"/>
    <s v="B"/>
    <s v="Mandalay"/>
    <x v="0"/>
    <s v="Male"/>
    <s v="Sports and travel"/>
    <n v="34.369999999999997"/>
    <n v="10"/>
    <n v="17.184999999999999"/>
    <n v="360.88499999999999"/>
    <s v="3/16/2019"/>
    <d v="1899-12-30T10:11:00"/>
    <s v="Ewallet"/>
    <n v="343.7"/>
    <n v="4.7619047620000003"/>
    <n v="17.184999999999999"/>
    <n v="6.7"/>
  </r>
  <r>
    <s v="731-59-7531"/>
    <s v="B"/>
    <s v="Mandalay"/>
    <x v="1"/>
    <s v="Male"/>
    <s v="Health and beauty"/>
    <n v="72.569999999999993"/>
    <n v="8"/>
    <n v="29.027999999999999"/>
    <n v="609.58799999999997"/>
    <s v="3/30/2019"/>
    <d v="1899-12-30T17:58:00"/>
    <s v="Cash"/>
    <n v="580.55999999999995"/>
    <n v="4.7619047620000003"/>
    <n v="29.027999999999999"/>
    <n v="4.5999999999999996"/>
  </r>
  <r>
    <s v="477-24-6490"/>
    <s v="B"/>
    <s v="Mandalay"/>
    <x v="0"/>
    <s v="Female"/>
    <s v="Health and beauty"/>
    <n v="99.71"/>
    <n v="6"/>
    <n v="29.913"/>
    <n v="628.173"/>
    <s v="2/26/2019"/>
    <d v="1899-12-30T16:52:00"/>
    <s v="Ewallet"/>
    <n v="598.26"/>
    <n v="4.7619047620000003"/>
    <n v="29.913"/>
    <n v="7.9"/>
  </r>
  <r>
    <s v="566-19-5475"/>
    <s v="B"/>
    <s v="Mandalay"/>
    <x v="0"/>
    <s v="Male"/>
    <s v="Fashion accessories"/>
    <n v="47.97"/>
    <n v="7"/>
    <n v="16.7895"/>
    <n v="352.5795"/>
    <s v="1/7/2019"/>
    <d v="1899-12-30T20:52:00"/>
    <s v="Cash"/>
    <n v="335.79"/>
    <n v="4.7619047620000003"/>
    <n v="16.7895"/>
    <n v="6.2"/>
  </r>
  <r>
    <s v="554-53-3790"/>
    <s v="B"/>
    <s v="Mandalay"/>
    <x v="0"/>
    <s v="Male"/>
    <s v="Sports and travel"/>
    <n v="37.020000000000003"/>
    <n v="6"/>
    <n v="11.106"/>
    <n v="233.226"/>
    <s v="3/22/2019"/>
    <d v="1899-12-30T18:33:00"/>
    <s v="Cash"/>
    <n v="222.12"/>
    <n v="4.7619047620000003"/>
    <n v="11.106"/>
    <n v="4.5"/>
  </r>
  <r>
    <s v="234-03-4040"/>
    <s v="B"/>
    <s v="Mandalay"/>
    <x v="1"/>
    <s v="Female"/>
    <s v="Food and beverages"/>
    <n v="73.05"/>
    <n v="10"/>
    <n v="36.524999999999999"/>
    <n v="767.02499999999998"/>
    <s v="3/3/2019"/>
    <d v="1899-12-30T12:25:00"/>
    <s v="Credit card"/>
    <n v="730.5"/>
    <n v="4.7619047620000003"/>
    <n v="36.524999999999999"/>
    <n v="8.6999999999999993"/>
  </r>
  <r>
    <s v="533-33-5337"/>
    <s v="B"/>
    <s v="Mandalay"/>
    <x v="0"/>
    <s v="Male"/>
    <s v="Electronic accessories"/>
    <n v="79.39"/>
    <n v="10"/>
    <n v="39.695"/>
    <n v="833.59500000000003"/>
    <s v="2/7/2019"/>
    <d v="1899-12-30T20:24:00"/>
    <s v="Cash"/>
    <n v="793.9"/>
    <n v="4.7619047620000003"/>
    <n v="39.695"/>
    <n v="6.2"/>
  </r>
  <r>
    <s v="710-46-4433"/>
    <s v="B"/>
    <s v="Mandalay"/>
    <x v="1"/>
    <s v="Female"/>
    <s v="Food and beverages"/>
    <n v="77.400000000000006"/>
    <n v="9"/>
    <n v="34.83"/>
    <n v="731.43"/>
    <s v="2/15/2019"/>
    <d v="1899-12-30T14:15:00"/>
    <s v="Credit card"/>
    <n v="696.6"/>
    <n v="4.7619047620000003"/>
    <n v="34.83"/>
    <n v="4.5"/>
  </r>
  <r>
    <s v="767-54-1907"/>
    <s v="B"/>
    <s v="Mandalay"/>
    <x v="1"/>
    <s v="Female"/>
    <s v="Fashion accessories"/>
    <n v="29.56"/>
    <n v="5"/>
    <n v="7.39"/>
    <n v="155.19"/>
    <s v="2/13/2019"/>
    <d v="1899-12-30T16:59:00"/>
    <s v="Cash"/>
    <n v="147.80000000000001"/>
    <n v="4.7619047620000003"/>
    <n v="7.39"/>
    <n v="6.9"/>
  </r>
  <r>
    <s v="744-09-5786"/>
    <s v="B"/>
    <s v="Mandalay"/>
    <x v="0"/>
    <s v="Male"/>
    <s v="Electronic accessories"/>
    <n v="22.01"/>
    <n v="6"/>
    <n v="6.6029999999999998"/>
    <n v="138.66300000000001"/>
    <s v="1/2/2019"/>
    <d v="1899-12-30T18:50:00"/>
    <s v="Cash"/>
    <n v="132.06"/>
    <n v="4.7619047620000003"/>
    <n v="6.6029999999999998"/>
    <n v="7.6"/>
  </r>
  <r>
    <s v="891-01-7034"/>
    <s v="B"/>
    <s v="Mandalay"/>
    <x v="0"/>
    <s v="Female"/>
    <s v="Electronic accessories"/>
    <n v="74.709999999999994"/>
    <n v="6"/>
    <n v="22.413"/>
    <n v="470.673"/>
    <s v="1/1/2019"/>
    <d v="1899-12-30T19:07:00"/>
    <s v="Cash"/>
    <n v="448.26"/>
    <n v="4.7619047620000003"/>
    <n v="22.413"/>
    <n v="6.7"/>
  </r>
  <r>
    <s v="449-27-2918"/>
    <s v="B"/>
    <s v="Mandalay"/>
    <x v="1"/>
    <s v="Female"/>
    <s v="Sports and travel"/>
    <n v="39.119999999999997"/>
    <n v="1"/>
    <n v="1.956"/>
    <n v="41.076000000000001"/>
    <s v="3/26/2019"/>
    <d v="1899-12-30T11:02:00"/>
    <s v="Credit card"/>
    <n v="39.119999999999997"/>
    <n v="4.7619047620000003"/>
    <n v="1.956"/>
    <n v="9.6"/>
  </r>
  <r>
    <s v="296-11-7041"/>
    <s v="B"/>
    <s v="Mandalay"/>
    <x v="1"/>
    <s v="Female"/>
    <s v="Health and beauty"/>
    <n v="27.07"/>
    <n v="1"/>
    <n v="1.3534999999999999"/>
    <n v="28.423500000000001"/>
    <s v="1/12/2019"/>
    <d v="1899-12-30T20:07:00"/>
    <s v="Credit card"/>
    <n v="27.07"/>
    <n v="4.7619047620000003"/>
    <n v="1.3534999999999999"/>
    <n v="5.3"/>
  </r>
  <r>
    <s v="498-41-1961"/>
    <s v="B"/>
    <s v="Mandalay"/>
    <x v="0"/>
    <s v="Male"/>
    <s v="Health and beauty"/>
    <n v="66.680000000000007"/>
    <n v="5"/>
    <n v="16.670000000000002"/>
    <n v="350.07"/>
    <s v="2/20/2019"/>
    <d v="1899-12-30T18:01:00"/>
    <s v="Cash"/>
    <n v="333.4"/>
    <n v="4.7619047620000003"/>
    <n v="16.670000000000002"/>
    <n v="7.6"/>
  </r>
  <r>
    <s v="390-80-5128"/>
    <s v="B"/>
    <s v="Mandalay"/>
    <x v="1"/>
    <s v="Female"/>
    <s v="Health and beauty"/>
    <n v="19.149999999999999"/>
    <n v="1"/>
    <n v="0.95750000000000002"/>
    <n v="20.107500000000002"/>
    <s v="1/28/2019"/>
    <d v="1899-12-30T17:58:00"/>
    <s v="Credit card"/>
    <n v="19.149999999999999"/>
    <n v="4.7619047620000003"/>
    <n v="0.95750000000000002"/>
    <n v="9.5"/>
  </r>
  <r>
    <s v="394-30-3170"/>
    <s v="B"/>
    <s v="Mandalay"/>
    <x v="1"/>
    <s v="Female"/>
    <s v="Sports and travel"/>
    <n v="88.43"/>
    <n v="8"/>
    <n v="35.372"/>
    <n v="742.81200000000001"/>
    <s v="3/22/2019"/>
    <d v="1899-12-30T19:35:00"/>
    <s v="Credit card"/>
    <n v="707.44"/>
    <n v="4.7619047620000003"/>
    <n v="35.372"/>
    <n v="4.3"/>
  </r>
  <r>
    <s v="283-79-9594"/>
    <s v="B"/>
    <s v="Mandalay"/>
    <x v="0"/>
    <s v="Female"/>
    <s v="Food and beverages"/>
    <n v="48.51"/>
    <n v="7"/>
    <n v="16.9785"/>
    <n v="356.54849999999999"/>
    <s v="1/25/2019"/>
    <d v="1899-12-30T13:30:00"/>
    <s v="Credit card"/>
    <n v="339.57"/>
    <n v="4.7619047620000003"/>
    <n v="16.9785"/>
    <n v="5.2"/>
  </r>
  <r>
    <s v="837-55-7229"/>
    <s v="B"/>
    <s v="Mandalay"/>
    <x v="0"/>
    <s v="Female"/>
    <s v="Fashion accessories"/>
    <n v="47.44"/>
    <n v="1"/>
    <n v="2.3719999999999999"/>
    <n v="49.811999999999998"/>
    <s v="2/22/2019"/>
    <d v="1899-12-30T18:19:00"/>
    <s v="Credit card"/>
    <n v="47.44"/>
    <n v="4.7619047620000003"/>
    <n v="2.3719999999999999"/>
    <n v="6.8"/>
  </r>
  <r>
    <s v="139-20-0155"/>
    <s v="B"/>
    <s v="Mandalay"/>
    <x v="1"/>
    <s v="Male"/>
    <s v="Electronic accessories"/>
    <n v="40.299999999999997"/>
    <n v="10"/>
    <n v="20.149999999999999"/>
    <n v="423.15"/>
    <s v="1/24/2019"/>
    <d v="1899-12-30T17:37:00"/>
    <s v="Credit card"/>
    <n v="403"/>
    <n v="4.7619047620000003"/>
    <n v="20.149999999999999"/>
    <n v="7"/>
  </r>
  <r>
    <s v="616-87-0016"/>
    <s v="B"/>
    <s v="Mandalay"/>
    <x v="0"/>
    <s v="Male"/>
    <s v="Fashion accessories"/>
    <n v="95.54"/>
    <n v="7"/>
    <n v="33.439"/>
    <n v="702.21900000000005"/>
    <s v="3/9/2019"/>
    <d v="1899-12-30T14:36:00"/>
    <s v="Credit card"/>
    <n v="668.78"/>
    <n v="4.7619047620000003"/>
    <n v="33.439"/>
    <n v="9.6"/>
  </r>
  <r>
    <s v="286-75-7818"/>
    <s v="B"/>
    <s v="Mandalay"/>
    <x v="0"/>
    <s v="Male"/>
    <s v="Fashion accessories"/>
    <n v="69.08"/>
    <n v="2"/>
    <n v="6.9080000000000004"/>
    <n v="145.06800000000001"/>
    <s v="1/31/2019"/>
    <d v="1899-12-30T19:48:00"/>
    <s v="Credit card"/>
    <n v="138.16"/>
    <n v="4.7619047620000003"/>
    <n v="6.9080000000000004"/>
    <n v="6.9"/>
  </r>
  <r>
    <s v="741-73-3559"/>
    <s v="B"/>
    <s v="Mandalay"/>
    <x v="0"/>
    <s v="Male"/>
    <s v="Sports and travel"/>
    <n v="67.27"/>
    <n v="5"/>
    <n v="16.817499999999999"/>
    <n v="353.16750000000002"/>
    <s v="2/27/2019"/>
    <d v="1899-12-30T17:27:00"/>
    <s v="Cash"/>
    <n v="336.35"/>
    <n v="4.7619047620000003"/>
    <n v="16.817499999999999"/>
    <n v="6.9"/>
  </r>
  <r>
    <s v="585-03-5943"/>
    <s v="B"/>
    <s v="Mandalay"/>
    <x v="0"/>
    <s v="Male"/>
    <s v="Health and beauty"/>
    <n v="18.11"/>
    <n v="10"/>
    <n v="9.0549999999999997"/>
    <n v="190.155"/>
    <s v="3/13/2019"/>
    <d v="1899-12-30T11:46:00"/>
    <s v="Ewallet"/>
    <n v="181.1"/>
    <n v="4.7619047620000003"/>
    <n v="9.0549999999999997"/>
    <n v="5.9"/>
  </r>
  <r>
    <s v="650-98-6268"/>
    <s v="B"/>
    <s v="Mandalay"/>
    <x v="1"/>
    <s v="Female"/>
    <s v="Food and beverages"/>
    <n v="20.87"/>
    <n v="3"/>
    <n v="3.1305000000000001"/>
    <n v="65.740499999999997"/>
    <s v="3/20/2019"/>
    <d v="1899-12-30T13:53:00"/>
    <s v="Credit card"/>
    <n v="62.61"/>
    <n v="4.7619047620000003"/>
    <n v="3.1305000000000001"/>
    <n v="8"/>
  </r>
  <r>
    <s v="198-84-7132"/>
    <s v="B"/>
    <s v="Mandalay"/>
    <x v="1"/>
    <s v="Male"/>
    <s v="Fashion accessories"/>
    <n v="40.61"/>
    <n v="9"/>
    <n v="18.2745"/>
    <n v="383.7645"/>
    <s v="1/2/2019"/>
    <d v="1899-12-30T13:40:00"/>
    <s v="Cash"/>
    <n v="365.49"/>
    <n v="4.7619047620000003"/>
    <n v="18.2745"/>
    <n v="7"/>
  </r>
  <r>
    <s v="301-81-8610"/>
    <s v="B"/>
    <s v="Mandalay"/>
    <x v="1"/>
    <s v="Male"/>
    <s v="Fashion accessories"/>
    <n v="25.42"/>
    <n v="8"/>
    <n v="10.167999999999999"/>
    <n v="213.52799999999999"/>
    <s v="3/19/2019"/>
    <d v="1899-12-30T19:42:00"/>
    <s v="Credit card"/>
    <n v="203.36"/>
    <n v="4.7619047620000003"/>
    <n v="10.167999999999999"/>
    <n v="6.7"/>
  </r>
  <r>
    <s v="848-07-1692"/>
    <s v="B"/>
    <s v="Mandalay"/>
    <x v="0"/>
    <s v="Female"/>
    <s v="Health and beauty"/>
    <n v="57.22"/>
    <n v="2"/>
    <n v="5.7220000000000004"/>
    <n v="120.16200000000001"/>
    <s v="1/12/2019"/>
    <d v="1899-12-30T17:13:00"/>
    <s v="Ewallet"/>
    <n v="114.44"/>
    <n v="4.7619047620000003"/>
    <n v="5.7220000000000004"/>
    <n v="8.3000000000000007"/>
  </r>
  <r>
    <s v="268-03-6164"/>
    <s v="B"/>
    <s v="Mandalay"/>
    <x v="0"/>
    <s v="Male"/>
    <s v="Health and beauty"/>
    <n v="96.11"/>
    <n v="1"/>
    <n v="4.8055000000000003"/>
    <n v="100.91549999999999"/>
    <s v="1/25/2019"/>
    <d v="1899-12-30T16:28:00"/>
    <s v="Ewallet"/>
    <n v="96.11"/>
    <n v="4.7619047620000003"/>
    <n v="4.8055000000000003"/>
    <n v="7.8"/>
  </r>
  <r>
    <s v="569-71-4390"/>
    <s v="B"/>
    <s v="Mandalay"/>
    <x v="0"/>
    <s v="Male"/>
    <s v="Sports and travel"/>
    <n v="21.87"/>
    <n v="2"/>
    <n v="2.1869999999999998"/>
    <n v="45.927"/>
    <s v="1/25/2019"/>
    <d v="1899-12-30T14:29:00"/>
    <s v="Ewallet"/>
    <n v="43.74"/>
    <n v="4.7619047620000003"/>
    <n v="2.1869999999999998"/>
    <n v="6.9"/>
  </r>
  <r>
    <s v="573-10-3877"/>
    <s v="B"/>
    <s v="Mandalay"/>
    <x v="1"/>
    <s v="Male"/>
    <s v="Health and beauty"/>
    <n v="39.01"/>
    <n v="1"/>
    <n v="1.9504999999999999"/>
    <n v="40.960500000000003"/>
    <s v="3/12/2019"/>
    <d v="1899-12-30T16:46:00"/>
    <s v="Credit card"/>
    <n v="39.01"/>
    <n v="4.7619047620000003"/>
    <n v="1.9504999999999999"/>
    <n v="4.7"/>
  </r>
  <r>
    <s v="244-08-0162"/>
    <s v="B"/>
    <s v="Mandalay"/>
    <x v="0"/>
    <s v="Female"/>
    <s v="Health and beauty"/>
    <n v="34.21"/>
    <n v="10"/>
    <n v="17.105"/>
    <n v="359.20499999999998"/>
    <s v="1/2/2019"/>
    <d v="1899-12-30T13:00:00"/>
    <s v="Cash"/>
    <n v="342.1"/>
    <n v="4.7619047620000003"/>
    <n v="17.105"/>
    <n v="5.0999999999999996"/>
  </r>
  <r>
    <s v="725-32-9708"/>
    <s v="B"/>
    <s v="Mandalay"/>
    <x v="1"/>
    <s v="Female"/>
    <s v="Fashion accessories"/>
    <n v="68.709999999999994"/>
    <n v="4"/>
    <n v="13.742000000000001"/>
    <n v="288.58199999999999"/>
    <s v="1/4/2019"/>
    <d v="1899-12-30T19:01:00"/>
    <s v="Cash"/>
    <n v="274.83999999999997"/>
    <n v="4.7619047620000003"/>
    <n v="13.742000000000001"/>
    <n v="4.0999999999999996"/>
  </r>
  <r>
    <s v="396-90-2219"/>
    <s v="B"/>
    <s v="Mandalay"/>
    <x v="0"/>
    <s v="Female"/>
    <s v="Electronic accessories"/>
    <n v="14.96"/>
    <n v="8"/>
    <n v="5.984"/>
    <n v="125.664"/>
    <s v="2/23/2019"/>
    <d v="1899-12-30T12:29:00"/>
    <s v="Cash"/>
    <n v="119.68"/>
    <n v="4.7619047620000003"/>
    <n v="5.984"/>
    <n v="8.6"/>
  </r>
  <r>
    <s v="831-64-0259"/>
    <s v="B"/>
    <s v="Mandalay"/>
    <x v="0"/>
    <s v="Female"/>
    <s v="Fashion accessories"/>
    <n v="39.75"/>
    <n v="5"/>
    <n v="9.9375"/>
    <n v="208.6875"/>
    <s v="2/22/2019"/>
    <d v="1899-12-30T10:43:00"/>
    <s v="Ewallet"/>
    <n v="198.75"/>
    <n v="4.7619047620000003"/>
    <n v="9.9375"/>
    <n v="9.6"/>
  </r>
  <r>
    <s v="346-12-3257"/>
    <s v="B"/>
    <s v="Mandalay"/>
    <x v="1"/>
    <s v="Male"/>
    <s v="Electronic accessories"/>
    <n v="19.239999999999998"/>
    <n v="9"/>
    <n v="8.6579999999999995"/>
    <n v="181.81800000000001"/>
    <s v="3/4/2019"/>
    <d v="1899-12-30T16:28:00"/>
    <s v="Cash"/>
    <n v="173.16"/>
    <n v="4.7619047620000003"/>
    <n v="8.6579999999999995"/>
    <n v="8"/>
  </r>
  <r>
    <s v="793-10-3222"/>
    <s v="B"/>
    <s v="Mandalay"/>
    <x v="1"/>
    <s v="Female"/>
    <s v="Health and beauty"/>
    <n v="41.06"/>
    <n v="6"/>
    <n v="12.318"/>
    <n v="258.678"/>
    <s v="3/5/2019"/>
    <d v="1899-12-30T13:30:00"/>
    <s v="Credit card"/>
    <n v="246.36"/>
    <n v="4.7619047620000003"/>
    <n v="12.318"/>
    <n v="8.3000000000000007"/>
  </r>
  <r>
    <s v="760-54-1821"/>
    <s v="B"/>
    <s v="Mandalay"/>
    <x v="0"/>
    <s v="Male"/>
    <s v="Home and lifestyle"/>
    <n v="13.59"/>
    <n v="9"/>
    <n v="6.1154999999999999"/>
    <n v="128.4255"/>
    <s v="3/15/2019"/>
    <d v="1899-12-30T10:26:00"/>
    <s v="Cash"/>
    <n v="122.31"/>
    <n v="4.7619047620000003"/>
    <n v="6.1154999999999999"/>
    <n v="5.8"/>
  </r>
  <r>
    <s v="173-82-9529"/>
    <s v="B"/>
    <s v="Mandalay"/>
    <x v="0"/>
    <s v="Female"/>
    <s v="Fashion accessories"/>
    <n v="37.950000000000003"/>
    <n v="10"/>
    <n v="18.975000000000001"/>
    <n v="398.47500000000002"/>
    <s v="1/26/2019"/>
    <d v="1899-12-30T14:51:00"/>
    <s v="Cash"/>
    <n v="379.5"/>
    <n v="4.7619047620000003"/>
    <n v="18.975000000000001"/>
    <n v="9.6999999999999993"/>
  </r>
  <r>
    <s v="532-59-7201"/>
    <s v="B"/>
    <s v="Mandalay"/>
    <x v="1"/>
    <s v="Male"/>
    <s v="Sports and travel"/>
    <n v="79.930000000000007"/>
    <n v="6"/>
    <n v="23.978999999999999"/>
    <n v="503.55900000000003"/>
    <s v="1/31/2019"/>
    <d v="1899-12-30T14:04:00"/>
    <s v="Cash"/>
    <n v="479.58"/>
    <n v="4.7619047620000003"/>
    <n v="23.978999999999999"/>
    <n v="5.5"/>
  </r>
  <r>
    <s v="596-42-3999"/>
    <s v="B"/>
    <s v="Mandalay"/>
    <x v="0"/>
    <s v="Male"/>
    <s v="Food and beverages"/>
    <n v="18.22"/>
    <n v="7"/>
    <n v="6.3769999999999998"/>
    <n v="133.917"/>
    <s v="3/10/2019"/>
    <d v="1899-12-30T14:04:00"/>
    <s v="Credit card"/>
    <n v="127.54"/>
    <n v="4.7619047620000003"/>
    <n v="6.3769999999999998"/>
    <n v="6.6"/>
  </r>
  <r>
    <s v="525-88-7307"/>
    <s v="B"/>
    <s v="Mandalay"/>
    <x v="1"/>
    <s v="Male"/>
    <s v="Sports and travel"/>
    <n v="75.819999999999993"/>
    <n v="1"/>
    <n v="3.7909999999999999"/>
    <n v="79.611000000000004"/>
    <s v="1/31/2019"/>
    <d v="1899-12-30T13:19:00"/>
    <s v="Cash"/>
    <n v="75.819999999999993"/>
    <n v="4.7619047620000003"/>
    <n v="3.7909999999999999"/>
    <n v="5.8"/>
  </r>
  <r>
    <s v="868-52-7573"/>
    <s v="B"/>
    <s v="Mandalay"/>
    <x v="0"/>
    <s v="Female"/>
    <s v="Food and beverages"/>
    <n v="99.69"/>
    <n v="5"/>
    <n v="24.922499999999999"/>
    <n v="523.37249999999995"/>
    <s v="1/14/2019"/>
    <d v="1899-12-30T12:09:00"/>
    <s v="Cash"/>
    <n v="498.45"/>
    <n v="4.7619047620000003"/>
    <n v="24.922499999999999"/>
    <n v="9.9"/>
  </r>
  <r>
    <s v="182-69-8360"/>
    <s v="B"/>
    <s v="Mandalay"/>
    <x v="0"/>
    <s v="Female"/>
    <s v="Electronic accessories"/>
    <n v="23.65"/>
    <n v="4"/>
    <n v="4.7300000000000004"/>
    <n v="99.33"/>
    <s v="1/30/2019"/>
    <d v="1899-12-30T13:32:00"/>
    <s v="Credit card"/>
    <n v="94.6"/>
    <n v="4.7619047620000003"/>
    <n v="4.7300000000000004"/>
    <n v="4"/>
  </r>
  <r>
    <s v="843-01-4703"/>
    <s v="B"/>
    <s v="Mandalay"/>
    <x v="1"/>
    <s v="Female"/>
    <s v="Home and lifestyle"/>
    <n v="35.380000000000003"/>
    <n v="9"/>
    <n v="15.920999999999999"/>
    <n v="334.34100000000001"/>
    <s v="1/5/2019"/>
    <d v="1899-12-30T19:50:00"/>
    <s v="Credit card"/>
    <n v="318.42"/>
    <n v="4.7619047620000003"/>
    <n v="15.920999999999999"/>
    <n v="9.6"/>
  </r>
  <r>
    <s v="261-12-8671"/>
    <s v="B"/>
    <s v="Mandalay"/>
    <x v="0"/>
    <s v="Female"/>
    <s v="Fashion accessories"/>
    <n v="60.96"/>
    <n v="2"/>
    <n v="6.0960000000000001"/>
    <n v="128.01599999999999"/>
    <s v="1/25/2019"/>
    <d v="1899-12-30T19:39:00"/>
    <s v="Credit card"/>
    <n v="121.92"/>
    <n v="4.7619047620000003"/>
    <n v="6.0960000000000001"/>
    <n v="4.9000000000000004"/>
  </r>
  <r>
    <s v="201-86-2184"/>
    <s v="B"/>
    <s v="Mandalay"/>
    <x v="1"/>
    <s v="Female"/>
    <s v="Electronic accessories"/>
    <n v="26.26"/>
    <n v="7"/>
    <n v="9.1910000000000007"/>
    <n v="193.011"/>
    <s v="2/2/2019"/>
    <d v="1899-12-30T19:40:00"/>
    <s v="Cash"/>
    <n v="183.82"/>
    <n v="4.7619047620000003"/>
    <n v="9.1910000000000007"/>
    <n v="9.9"/>
  </r>
  <r>
    <s v="578-80-7669"/>
    <s v="B"/>
    <s v="Mandalay"/>
    <x v="0"/>
    <s v="Male"/>
    <s v="Sports and travel"/>
    <n v="74.97"/>
    <n v="1"/>
    <n v="3.7484999999999999"/>
    <n v="78.718500000000006"/>
    <s v="3/16/2019"/>
    <d v="1899-12-30T16:58:00"/>
    <s v="Cash"/>
    <n v="74.97"/>
    <n v="4.7619047620000003"/>
    <n v="3.7484999999999999"/>
    <n v="5.6"/>
  </r>
  <r>
    <s v="453-63-6187"/>
    <s v="B"/>
    <s v="Mandalay"/>
    <x v="0"/>
    <s v="Male"/>
    <s v="Electronic accessories"/>
    <n v="27.5"/>
    <n v="3"/>
    <n v="4.125"/>
    <n v="86.625"/>
    <s v="3/1/2019"/>
    <d v="1899-12-30T15:40:00"/>
    <s v="Ewallet"/>
    <n v="82.5"/>
    <n v="4.7619047620000003"/>
    <n v="4.125"/>
    <n v="6.5"/>
  </r>
  <r>
    <s v="889-04-9723"/>
    <s v="B"/>
    <s v="Mandalay"/>
    <x v="1"/>
    <s v="Female"/>
    <s v="Food and beverages"/>
    <n v="89.14"/>
    <n v="4"/>
    <n v="17.827999999999999"/>
    <n v="374.38799999999998"/>
    <s v="1/7/2019"/>
    <d v="1899-12-30T12:20:00"/>
    <s v="Credit card"/>
    <n v="356.56"/>
    <n v="4.7619047620000003"/>
    <n v="17.827999999999999"/>
    <n v="7.8"/>
  </r>
  <r>
    <s v="565-67-6697"/>
    <s v="B"/>
    <s v="Mandalay"/>
    <x v="1"/>
    <s v="Male"/>
    <s v="Home and lifestyle"/>
    <n v="27"/>
    <n v="9"/>
    <n v="12.15"/>
    <n v="255.15"/>
    <s v="3/2/2019"/>
    <d v="1899-12-30T14:16:00"/>
    <s v="Cash"/>
    <n v="243"/>
    <n v="4.7619047620000003"/>
    <n v="12.15"/>
    <n v="4.8"/>
  </r>
  <r>
    <s v="115-99-4379"/>
    <s v="B"/>
    <s v="Mandalay"/>
    <x v="1"/>
    <s v="Female"/>
    <s v="Fashion accessories"/>
    <n v="54.73"/>
    <n v="7"/>
    <n v="19.1555"/>
    <n v="402.26549999999997"/>
    <s v="3/14/2019"/>
    <d v="1899-12-30T19:02:00"/>
    <s v="Credit card"/>
    <n v="383.11"/>
    <n v="4.7619047620000003"/>
    <n v="19.1555"/>
    <n v="8.5"/>
  </r>
  <r>
    <s v="400-45-1220"/>
    <s v="B"/>
    <s v="Mandalay"/>
    <x v="0"/>
    <s v="Female"/>
    <s v="Health and beauty"/>
    <n v="13.5"/>
    <n v="10"/>
    <n v="6.75"/>
    <n v="141.75"/>
    <s v="2/27/2019"/>
    <d v="1899-12-30T11:06:00"/>
    <s v="Credit card"/>
    <n v="135"/>
    <n v="4.7619047620000003"/>
    <n v="6.75"/>
    <n v="4.8"/>
  </r>
  <r>
    <s v="873-95-4984"/>
    <s v="B"/>
    <s v="Mandalay"/>
    <x v="1"/>
    <s v="Female"/>
    <s v="Health and beauty"/>
    <n v="76.900000000000006"/>
    <n v="7"/>
    <n v="26.914999999999999"/>
    <n v="565.21500000000003"/>
    <s v="2/15/2019"/>
    <d v="1899-12-30T20:21:00"/>
    <s v="Cash"/>
    <n v="538.29999999999995"/>
    <n v="4.7619047620000003"/>
    <n v="26.914999999999999"/>
    <n v="7.7"/>
  </r>
  <r>
    <s v="276-54-0879"/>
    <s v="B"/>
    <s v="Mandalay"/>
    <x v="0"/>
    <s v="Male"/>
    <s v="Sports and travel"/>
    <n v="97.74"/>
    <n v="4"/>
    <n v="19.547999999999998"/>
    <n v="410.50799999999998"/>
    <s v="3/12/2019"/>
    <d v="1899-12-30T19:53:00"/>
    <s v="Ewallet"/>
    <n v="390.96"/>
    <n v="4.7619047620000003"/>
    <n v="19.547999999999998"/>
    <n v="6.4"/>
  </r>
  <r>
    <s v="433-75-6987"/>
    <s v="B"/>
    <s v="Mandalay"/>
    <x v="1"/>
    <s v="Female"/>
    <s v="Health and beauty"/>
    <n v="55.97"/>
    <n v="7"/>
    <n v="19.589500000000001"/>
    <n v="411.37950000000001"/>
    <s v="3/5/2019"/>
    <d v="1899-12-30T19:06:00"/>
    <s v="Ewallet"/>
    <n v="391.79"/>
    <n v="4.7619047620000003"/>
    <n v="19.589500000000001"/>
    <n v="8.9"/>
  </r>
  <r>
    <s v="378-07-7001"/>
    <s v="B"/>
    <s v="Mandalay"/>
    <x v="1"/>
    <s v="Male"/>
    <s v="Electronic accessories"/>
    <n v="48.09"/>
    <n v="3"/>
    <n v="7.2134999999999998"/>
    <n v="151.48349999999999"/>
    <s v="2/10/2019"/>
    <d v="1899-12-30T18:23:00"/>
    <s v="Credit card"/>
    <n v="144.27000000000001"/>
    <n v="4.7619047620000003"/>
    <n v="7.2134999999999998"/>
    <n v="7.8"/>
  </r>
  <r>
    <s v="730-61-8757"/>
    <s v="B"/>
    <s v="Mandalay"/>
    <x v="1"/>
    <s v="Male"/>
    <s v="Health and beauty"/>
    <n v="51.13"/>
    <n v="4"/>
    <n v="10.226000000000001"/>
    <n v="214.74600000000001"/>
    <s v="1/25/2019"/>
    <d v="1899-12-30T10:11:00"/>
    <s v="Credit card"/>
    <n v="204.52"/>
    <n v="4.7619047620000003"/>
    <n v="10.226000000000001"/>
    <n v="4"/>
  </r>
  <r>
    <s v="374-17-3652"/>
    <s v="B"/>
    <s v="Mandalay"/>
    <x v="1"/>
    <s v="Female"/>
    <s v="Food and beverages"/>
    <n v="42.82"/>
    <n v="9"/>
    <n v="19.268999999999998"/>
    <n v="404.649"/>
    <s v="2/5/2019"/>
    <d v="1899-12-30T15:26:00"/>
    <s v="Credit card"/>
    <n v="385.38"/>
    <n v="4.7619047620000003"/>
    <n v="19.268999999999998"/>
    <n v="8.9"/>
  </r>
  <r>
    <s v="868-81-1752"/>
    <s v="B"/>
    <s v="Mandalay"/>
    <x v="0"/>
    <s v="Male"/>
    <s v="Home and lifestyle"/>
    <n v="22.02"/>
    <n v="9"/>
    <n v="9.9090000000000007"/>
    <n v="208.089"/>
    <s v="2/7/2019"/>
    <d v="1899-12-30T18:48:00"/>
    <s v="Cash"/>
    <n v="198.18"/>
    <n v="4.7619047620000003"/>
    <n v="9.9090000000000007"/>
    <n v="6.8"/>
  </r>
  <r>
    <s v="692-27-8933"/>
    <s v="B"/>
    <s v="Mandalay"/>
    <x v="0"/>
    <s v="Female"/>
    <s v="Sports and travel"/>
    <n v="57.95"/>
    <n v="6"/>
    <n v="17.385000000000002"/>
    <n v="365.08499999999998"/>
    <s v="2/24/2019"/>
    <d v="1899-12-30T13:02:00"/>
    <s v="Cash"/>
    <n v="347.7"/>
    <n v="4.7619047620000003"/>
    <n v="17.385000000000002"/>
    <n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91BBB-6F5D-4B00-835E-D0638BB8E7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0" firstHeaderRow="0" firstDataRow="1" firstDataCol="1"/>
  <pivotFields count="17">
    <pivotField showAll="0"/>
    <pivotField showAll="0"/>
    <pivotField showAll="0"/>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pivotField showAll="0"/>
    <pivotField showAll="0"/>
    <pivotField showAll="0"/>
    <pivotField showAll="0"/>
  </pivotFields>
  <rowFields count="1">
    <field x="5"/>
  </rowFields>
  <rowItems count="7">
    <i>
      <x v="2"/>
    </i>
    <i>
      <x v="5"/>
    </i>
    <i>
      <x/>
    </i>
    <i>
      <x v="1"/>
    </i>
    <i>
      <x v="4"/>
    </i>
    <i>
      <x v="3"/>
    </i>
    <i t="grand">
      <x/>
    </i>
  </rowItems>
  <colFields count="1">
    <field x="-2"/>
  </colFields>
  <colItems count="3">
    <i>
      <x/>
    </i>
    <i i="1">
      <x v="1"/>
    </i>
    <i i="2">
      <x v="2"/>
    </i>
  </colItems>
  <dataFields count="3">
    <dataField name="Total Sales" fld="9" baseField="5" baseItem="2"/>
    <dataField name="Tax Amount" fld="8" baseField="5" baseItem="2"/>
    <dataField name="Unit Price Analysis" fld="6" baseField="5" baseItem="2"/>
  </dataFields>
  <formats count="1">
    <format dxfId="14">
      <pivotArea outline="0" collapsedLevelsAreSubtotals="1" fieldPosition="0"/>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0"/>
          </reference>
        </references>
      </pivotArea>
    </chartFormat>
    <chartFormat chart="0" format="10">
      <pivotArea type="data" outline="0" fieldPosition="0">
        <references count="2">
          <reference field="4294967294" count="1" selected="0">
            <x v="0"/>
          </reference>
          <reference field="5" count="1" selected="0">
            <x v="3"/>
          </reference>
        </references>
      </pivotArea>
    </chartFormat>
    <chartFormat chart="0" format="11">
      <pivotArea type="data" outline="0" fieldPosition="0">
        <references count="2">
          <reference field="4294967294" count="1" selected="0">
            <x v="1"/>
          </reference>
          <reference field="5" count="1" selected="0">
            <x v="2"/>
          </reference>
        </references>
      </pivotArea>
    </chartFormat>
    <chartFormat chart="0" format="12">
      <pivotArea type="data" outline="0" fieldPosition="0">
        <references count="2">
          <reference field="4294967294" count="1" selected="0">
            <x v="1"/>
          </reference>
          <reference field="5" count="1" selected="0">
            <x v="1"/>
          </reference>
        </references>
      </pivotArea>
    </chartFormat>
    <chartFormat chart="0" format="13">
      <pivotArea type="data" outline="0" fieldPosition="0">
        <references count="2">
          <reference field="4294967294" count="1" selected="0">
            <x v="1"/>
          </reference>
          <reference field="5" count="1" selected="0">
            <x v="4"/>
          </reference>
        </references>
      </pivotArea>
    </chartFormat>
    <chartFormat chart="0" format="14">
      <pivotArea type="data" outline="0" fieldPosition="0">
        <references count="2">
          <reference field="4294967294" count="1" selected="0">
            <x v="1"/>
          </reference>
          <reference field="5" count="1" selected="0">
            <x v="5"/>
          </reference>
        </references>
      </pivotArea>
    </chartFormat>
    <chartFormat chart="0" format="15">
      <pivotArea type="data" outline="0" fieldPosition="0">
        <references count="2">
          <reference field="4294967294" count="1" selected="0">
            <x v="1"/>
          </reference>
          <reference field="5" count="1" selected="0">
            <x v="0"/>
          </reference>
        </references>
      </pivotArea>
    </chartFormat>
    <chartFormat chart="0" format="16">
      <pivotArea type="data" outline="0" fieldPosition="0">
        <references count="2">
          <reference field="4294967294" count="1" selected="0">
            <x v="1"/>
          </reference>
          <reference field="5" count="1" selected="0">
            <x v="3"/>
          </reference>
        </references>
      </pivotArea>
    </chartFormat>
    <chartFormat chart="0" format="17">
      <pivotArea type="data" outline="0" fieldPosition="0">
        <references count="2">
          <reference field="4294967294" count="1" selected="0">
            <x v="2"/>
          </reference>
          <reference field="5" count="1" selected="0">
            <x v="2"/>
          </reference>
        </references>
      </pivotArea>
    </chartFormat>
    <chartFormat chart="0" format="18">
      <pivotArea type="data" outline="0" fieldPosition="0">
        <references count="2">
          <reference field="4294967294" count="1" selected="0">
            <x v="2"/>
          </reference>
          <reference field="5" count="1" selected="0">
            <x v="1"/>
          </reference>
        </references>
      </pivotArea>
    </chartFormat>
    <chartFormat chart="0" format="19">
      <pivotArea type="data" outline="0" fieldPosition="0">
        <references count="2">
          <reference field="4294967294" count="1" selected="0">
            <x v="2"/>
          </reference>
          <reference field="5" count="1" selected="0">
            <x v="4"/>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3"/>
          </reference>
        </references>
      </pivotArea>
    </chartFormat>
    <chartFormat chart="6" format="44" series="1">
      <pivotArea type="data" outline="0" fieldPosition="0">
        <references count="1">
          <reference field="4294967294" count="1" selected="0">
            <x v="0"/>
          </reference>
        </references>
      </pivotArea>
    </chartFormat>
    <chartFormat chart="6" format="45">
      <pivotArea type="data" outline="0" fieldPosition="0">
        <references count="2">
          <reference field="4294967294" count="1" selected="0">
            <x v="0"/>
          </reference>
          <reference field="5" count="1" selected="0">
            <x v="3"/>
          </reference>
        </references>
      </pivotArea>
    </chartFormat>
    <chartFormat chart="6" format="46">
      <pivotArea type="data" outline="0" fieldPosition="0">
        <references count="2">
          <reference field="4294967294" count="1" selected="0">
            <x v="0"/>
          </reference>
          <reference field="5" count="1" selected="0">
            <x v="0"/>
          </reference>
        </references>
      </pivotArea>
    </chartFormat>
    <chartFormat chart="6" format="47">
      <pivotArea type="data" outline="0" fieldPosition="0">
        <references count="2">
          <reference field="4294967294" count="1" selected="0">
            <x v="0"/>
          </reference>
          <reference field="5" count="1" selected="0">
            <x v="5"/>
          </reference>
        </references>
      </pivotArea>
    </chartFormat>
    <chartFormat chart="6" format="48">
      <pivotArea type="data" outline="0" fieldPosition="0">
        <references count="2">
          <reference field="4294967294" count="1" selected="0">
            <x v="0"/>
          </reference>
          <reference field="5" count="1" selected="0">
            <x v="1"/>
          </reference>
        </references>
      </pivotArea>
    </chartFormat>
    <chartFormat chart="6" format="49">
      <pivotArea type="data" outline="0" fieldPosition="0">
        <references count="2">
          <reference field="4294967294" count="1" selected="0">
            <x v="0"/>
          </reference>
          <reference field="5" count="1" selected="0">
            <x v="4"/>
          </reference>
        </references>
      </pivotArea>
    </chartFormat>
    <chartFormat chart="6" format="50">
      <pivotArea type="data" outline="0" fieldPosition="0">
        <references count="2">
          <reference field="4294967294" count="1" selected="0">
            <x v="0"/>
          </reference>
          <reference field="5" count="1" selected="0">
            <x v="2"/>
          </reference>
        </references>
      </pivotArea>
    </chartFormat>
    <chartFormat chart="6" format="51" series="1">
      <pivotArea type="data" outline="0" fieldPosition="0">
        <references count="1">
          <reference field="4294967294" count="1" selected="0">
            <x v="1"/>
          </reference>
        </references>
      </pivotArea>
    </chartFormat>
    <chartFormat chart="6" format="52">
      <pivotArea type="data" outline="0" fieldPosition="0">
        <references count="2">
          <reference field="4294967294" count="1" selected="0">
            <x v="1"/>
          </reference>
          <reference field="5" count="1" selected="0">
            <x v="3"/>
          </reference>
        </references>
      </pivotArea>
    </chartFormat>
    <chartFormat chart="6" format="53">
      <pivotArea type="data" outline="0" fieldPosition="0">
        <references count="2">
          <reference field="4294967294" count="1" selected="0">
            <x v="1"/>
          </reference>
          <reference field="5" count="1" selected="0">
            <x v="0"/>
          </reference>
        </references>
      </pivotArea>
    </chartFormat>
    <chartFormat chart="6" format="54">
      <pivotArea type="data" outline="0" fieldPosition="0">
        <references count="2">
          <reference field="4294967294" count="1" selected="0">
            <x v="1"/>
          </reference>
          <reference field="5" count="1" selected="0">
            <x v="5"/>
          </reference>
        </references>
      </pivotArea>
    </chartFormat>
    <chartFormat chart="6" format="55">
      <pivotArea type="data" outline="0" fieldPosition="0">
        <references count="2">
          <reference field="4294967294" count="1" selected="0">
            <x v="1"/>
          </reference>
          <reference field="5" count="1" selected="0">
            <x v="1"/>
          </reference>
        </references>
      </pivotArea>
    </chartFormat>
    <chartFormat chart="6" format="56">
      <pivotArea type="data" outline="0" fieldPosition="0">
        <references count="2">
          <reference field="4294967294" count="1" selected="0">
            <x v="1"/>
          </reference>
          <reference field="5" count="1" selected="0">
            <x v="4"/>
          </reference>
        </references>
      </pivotArea>
    </chartFormat>
    <chartFormat chart="6" format="57">
      <pivotArea type="data" outline="0" fieldPosition="0">
        <references count="2">
          <reference field="4294967294" count="1" selected="0">
            <x v="1"/>
          </reference>
          <reference field="5" count="1" selected="0">
            <x v="2"/>
          </reference>
        </references>
      </pivotArea>
    </chartFormat>
    <chartFormat chart="6" format="58" series="1">
      <pivotArea type="data" outline="0" fieldPosition="0">
        <references count="1">
          <reference field="4294967294" count="1" selected="0">
            <x v="2"/>
          </reference>
        </references>
      </pivotArea>
    </chartFormat>
    <chartFormat chart="6" format="59">
      <pivotArea type="data" outline="0" fieldPosition="0">
        <references count="2">
          <reference field="4294967294" count="1" selected="0">
            <x v="2"/>
          </reference>
          <reference field="5" count="1" selected="0">
            <x v="3"/>
          </reference>
        </references>
      </pivotArea>
    </chartFormat>
    <chartFormat chart="6" format="60">
      <pivotArea type="data" outline="0" fieldPosition="0">
        <references count="2">
          <reference field="4294967294" count="1" selected="0">
            <x v="2"/>
          </reference>
          <reference field="5" count="1" selected="0">
            <x v="0"/>
          </reference>
        </references>
      </pivotArea>
    </chartFormat>
    <chartFormat chart="6" format="61">
      <pivotArea type="data" outline="0" fieldPosition="0">
        <references count="2">
          <reference field="4294967294" count="1" selected="0">
            <x v="2"/>
          </reference>
          <reference field="5" count="1" selected="0">
            <x v="5"/>
          </reference>
        </references>
      </pivotArea>
    </chartFormat>
    <chartFormat chart="6" format="62">
      <pivotArea type="data" outline="0" fieldPosition="0">
        <references count="2">
          <reference field="4294967294" count="1" selected="0">
            <x v="2"/>
          </reference>
          <reference field="5" count="1" selected="0">
            <x v="1"/>
          </reference>
        </references>
      </pivotArea>
    </chartFormat>
    <chartFormat chart="6" format="63">
      <pivotArea type="data" outline="0" fieldPosition="0">
        <references count="2">
          <reference field="4294967294" count="1" selected="0">
            <x v="2"/>
          </reference>
          <reference field="5" count="1" selected="0">
            <x v="4"/>
          </reference>
        </references>
      </pivotArea>
    </chartFormat>
    <chartFormat chart="6" format="64">
      <pivotArea type="data" outline="0" fieldPosition="0">
        <references count="2">
          <reference field="4294967294"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1DED1-B06E-4A76-8AB6-4321E5B2A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Total Sales" fld="9" baseField="2" baseItem="0"/>
    <dataField name="Gross Income Analysis" fld="15"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1FD12F-FE43-4A90-AF74-C90A4A0E7CB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numFmtId="21" showAll="0"/>
    <pivotField showAll="0"/>
    <pivotField showAll="0"/>
    <pivotField showAll="0"/>
    <pivotField showAll="0"/>
    <pivotField showAll="0"/>
  </pivotFields>
  <rowFields count="1">
    <field x="3"/>
  </rowFields>
  <rowItems count="3">
    <i>
      <x/>
    </i>
    <i>
      <x v="1"/>
    </i>
    <i t="grand">
      <x/>
    </i>
  </rowItems>
  <colItems count="1">
    <i/>
  </colItems>
  <dataFields count="1">
    <dataField name="Total Sales" fld="9"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A3FBC6-8FBA-482D-B3DF-CCB4064513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ales by City" fld="9" baseField="2" baseItem="0"/>
  </dataFields>
  <formats count="1">
    <format dxfId="13">
      <pivotArea collapsedLevelsAreSubtotals="1" fieldPosition="0">
        <references count="1">
          <reference field="2" count="0"/>
        </references>
      </pivotArea>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 count="1" selected="0">
            <x v="0"/>
          </reference>
        </references>
      </pivotArea>
    </chartFormat>
    <chartFormat chart="12" format="15">
      <pivotArea type="data" outline="0" fieldPosition="0">
        <references count="2">
          <reference field="4294967294" count="1" selected="0">
            <x v="0"/>
          </reference>
          <reference field="2" count="1" selected="0">
            <x v="1"/>
          </reference>
        </references>
      </pivotArea>
    </chartFormat>
    <chartFormat chart="12"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57E6D-4FE9-4F49-8135-58E7C29114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Total Sales" fld="9" baseField="5" baseItem="0"/>
  </dataFields>
  <formats count="1">
    <format dxfId="12">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90E8C-E6FA-4A96-AC56-8F5A28084E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0" firstDataRow="1" firstDataCol="1"/>
  <pivotFields count="17">
    <pivotField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Total Sales" fld="9" baseField="1" baseItem="0"/>
    <dataField name="Tax Amount" fld="8" baseField="1" baseItem="0"/>
    <dataField name="Unit Price Analysis" fld="6" baseField="1" baseItem="0"/>
  </dataFields>
  <formats count="2">
    <format dxfId="11">
      <pivotArea collapsedLevelsAreSubtotals="1" fieldPosition="0">
        <references count="1">
          <reference field="1" count="0"/>
        </references>
      </pivotArea>
    </format>
    <format dxfId="10">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BB922B-66DB-4088-8F1A-F2406BE6E4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48E52E-E268-44C5-B571-9593C41533AC}"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4C8FEA-F2F1-40CE-AB61-83DA7C1841A5}" sourceName="Gender">
  <pivotTables>
    <pivotTable tabId="5" name="PivotTable4"/>
    <pivotTable tabId="9" name="PivotTable1"/>
    <pivotTable tabId="15" name="PivotTable5"/>
    <pivotTable tabId="16" name="PivotTable1"/>
    <pivotTable tabId="7" name="PivotTable5"/>
    <pivotTable tabId="8" name="PivotTable6"/>
  </pivotTables>
  <data>
    <tabular pivotCacheId="4508419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699B04-4366-415F-B6E6-2D32969664B0}" sourceName="City">
  <pivotTables>
    <pivotTable tabId="9" name="PivotTable1"/>
  </pivotTables>
  <data>
    <tabular pivotCacheId="4508419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8C17267-C57A-4540-9C2B-E12B0D8DB643}" sourceName="Customer type">
  <pivotTables>
    <pivotTable tabId="9" name="PivotTable1"/>
    <pivotTable tabId="15" name="PivotTable5"/>
    <pivotTable tabId="16" name="PivotTable1"/>
    <pivotTable tabId="5" name="PivotTable4"/>
    <pivotTable tabId="7" name="PivotTable5"/>
    <pivotTable tabId="8" name="PivotTable6"/>
  </pivotTables>
  <data>
    <tabular pivotCacheId="45084190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BE6B876F-2E89-436A-8A6C-3A65ECB2AF92}" sourceName="Payment">
  <pivotTables>
    <pivotTable tabId="8" name="PivotTable6"/>
  </pivotTables>
  <data>
    <tabular pivotCacheId="45084190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58EBAAE6-924F-43E4-899A-13EAF790ED6B}" sourceName="Product line">
  <pivotTables>
    <pivotTable tabId="15" name="PivotTable5"/>
    <pivotTable tabId="9" name="PivotTable1"/>
    <pivotTable tabId="5" name="PivotTable4"/>
    <pivotTable tabId="7" name="PivotTable5"/>
    <pivotTable tabId="8" name="PivotTable6"/>
    <pivotTable tabId="16" name="PivotTable1"/>
  </pivotTables>
  <data>
    <tabular pivotCacheId="450841908">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1A6E7294-40F2-45F4-BB5B-91CDD247A906}" cache="Slicer_Payment" caption="Pay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93C0DA9-2CD4-49D2-AE93-5A1AB5EE1A78}" cache="Slicer_City" caption="City" rowHeight="234950"/>
  <slicer name="Customer type" xr10:uid="{94AC6906-919E-4B88-8E42-254B72A45910}" cache="Slicer_Customer_type" caption="Customer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00845CE-B951-4C57-A9DB-AD894F6DD0AF}" cache="Slicer_Gender" caption="Gender" style="SlicerStyleLight5" rowHeight="234950"/>
  <slicer name="City 1" xr10:uid="{570817B6-4460-483B-B6EA-D4EC8E794620}" cache="Slicer_City" caption="City" style="SlicerStyleLight5" rowHeight="234950"/>
  <slicer name="Customer type 1" xr10:uid="{A2773A3C-4DAD-4A35-B271-CA431FCE9DD5}" cache="Slicer_Customer_type" caption="Customer type" style="SlicerStyleLight5" rowHeight="234950"/>
  <slicer name="Payment 1" xr10:uid="{4127F651-4479-405D-990D-1C1D6DC81817}" cache="Slicer_Payment" caption="Payment" style="SlicerStyleLight5" rowHeight="234950"/>
  <slicer name="Product line 3" xr10:uid="{3C9F39B1-5C44-4894-853C-002C235790FD}" cache="Slicer_Product_line1" caption="Product line" style="SlicerStyleLigh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2" xr10:uid="{F892377F-6EA2-4983-9BA0-0FB990595B86}" cache="Slicer_Product_line1" caption="Product lin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1D04AC-EC2D-4D60-9AA4-18040B24C1F5}" name="Dashboard" displayName="Dashboard" ref="A1:Q1001" tableType="queryTable" totalsRowShown="0">
  <autoFilter ref="A1:Q1001" xr:uid="{591D04AC-EC2D-4D60-9AA4-18040B24C1F5}"/>
  <tableColumns count="17">
    <tableColumn id="1" xr3:uid="{D83EE542-1B02-4B39-8164-8C9D5E3740DD}" uniqueName="1" name="Invoice ID" queryTableFieldId="1" dataDxfId="8"/>
    <tableColumn id="2" xr3:uid="{673A7FAA-4F98-4495-AFC4-5C9C52C65BC9}" uniqueName="2" name="Branch" queryTableFieldId="2" dataDxfId="7"/>
    <tableColumn id="3" xr3:uid="{F6BC7108-CFFB-4CC6-8848-BD31E2017ACC}" uniqueName="3" name="City" queryTableFieldId="3" dataDxfId="6"/>
    <tableColumn id="4" xr3:uid="{772C1ED3-D440-4E39-8C9F-08757CBC5AD3}" uniqueName="4" name="Customer type" queryTableFieldId="4" dataDxfId="5"/>
    <tableColumn id="5" xr3:uid="{DAA8D407-EF11-46EB-8768-51F9618CBB72}" uniqueName="5" name="Gender" queryTableFieldId="5" dataDxfId="4"/>
    <tableColumn id="6" xr3:uid="{E7123079-3B3D-431F-9D7B-6F6E261D5F75}" uniqueName="6" name="Product line" queryTableFieldId="6" dataDxfId="3"/>
    <tableColumn id="7" xr3:uid="{B9947B57-404C-4E66-AD80-DD0D65B3D333}" uniqueName="7" name="Unit price" queryTableFieldId="7"/>
    <tableColumn id="8" xr3:uid="{7A449E01-3237-46A6-8523-F96E43FAA499}" uniqueName="8" name="Quantity" queryTableFieldId="8"/>
    <tableColumn id="9" xr3:uid="{EAA2B48A-EFE9-4F8B-8AEC-12ED2FC24208}" uniqueName="9" name="Tax 5%" queryTableFieldId="9"/>
    <tableColumn id="10" xr3:uid="{3EFD3DC5-4697-49EF-916D-1A784D2486F2}" uniqueName="10" name="Total" queryTableFieldId="10"/>
    <tableColumn id="11" xr3:uid="{4C6771E9-8D45-4789-97E9-B3B85FB80892}" uniqueName="11" name="Date" queryTableFieldId="11" dataDxfId="2"/>
    <tableColumn id="12" xr3:uid="{2A989765-F1CA-4F27-996C-40A81B6768F2}" uniqueName="12" name="Time" queryTableFieldId="12" dataDxfId="1"/>
    <tableColumn id="13" xr3:uid="{D606B71A-4E3F-4F4A-A61E-66424BE9495F}" uniqueName="13" name="Payment" queryTableFieldId="13" dataDxfId="0"/>
    <tableColumn id="14" xr3:uid="{F582619C-BC19-4624-AE25-9336FA75ACD7}" uniqueName="14" name="cogs" queryTableFieldId="14"/>
    <tableColumn id="15" xr3:uid="{C9EEF621-2428-47A9-9C90-742DF1EE3F66}" uniqueName="15" name="gross margin percentage" queryTableFieldId="15"/>
    <tableColumn id="16" xr3:uid="{3B05CE52-4415-42EA-946D-88EC3740353B}" uniqueName="16" name="gross income" queryTableFieldId="16"/>
    <tableColumn id="17" xr3:uid="{E853D9DD-860F-4606-AE11-90F7D095B7D5}"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E9A9-505B-4394-8647-776F41E40C8E}">
  <sheetPr codeName="Sheet2"/>
  <dimension ref="A3:D10"/>
  <sheetViews>
    <sheetView topLeftCell="A2" workbookViewId="0">
      <selection activeCell="M15" sqref="M15"/>
    </sheetView>
  </sheetViews>
  <sheetFormatPr defaultRowHeight="14.4" x14ac:dyDescent="0.3"/>
  <cols>
    <col min="1" max="1" width="19.109375" bestFit="1" customWidth="1"/>
    <col min="2" max="2" width="10.44140625" bestFit="1" customWidth="1"/>
    <col min="3" max="3" width="11.21875" bestFit="1" customWidth="1"/>
    <col min="4" max="4" width="16.44140625" bestFit="1" customWidth="1"/>
  </cols>
  <sheetData>
    <row r="3" spans="1:4" x14ac:dyDescent="0.3">
      <c r="A3" s="2" t="s">
        <v>1125</v>
      </c>
      <c r="B3" t="s">
        <v>1132</v>
      </c>
      <c r="C3" t="s">
        <v>1133</v>
      </c>
      <c r="D3" t="s">
        <v>1134</v>
      </c>
    </row>
    <row r="4" spans="1:4" x14ac:dyDescent="0.3">
      <c r="A4" s="3" t="s">
        <v>53</v>
      </c>
      <c r="B4" s="4">
        <v>56144.844000000005</v>
      </c>
      <c r="C4" s="4">
        <v>2673.5639999999994</v>
      </c>
      <c r="D4" s="4">
        <v>9745.5400000000063</v>
      </c>
    </row>
    <row r="5" spans="1:4" x14ac:dyDescent="0.3">
      <c r="A5" s="3" t="s">
        <v>40</v>
      </c>
      <c r="B5" s="4">
        <v>55122.826499999996</v>
      </c>
      <c r="C5" s="4">
        <v>2624.8964999999994</v>
      </c>
      <c r="D5" s="4">
        <v>9460.8799999999956</v>
      </c>
    </row>
    <row r="6" spans="1:4" x14ac:dyDescent="0.3">
      <c r="A6" s="3" t="s">
        <v>29</v>
      </c>
      <c r="B6" s="4">
        <v>54337.531500000005</v>
      </c>
      <c r="C6" s="4">
        <v>2587.5015000000017</v>
      </c>
      <c r="D6" s="4">
        <v>9103.7700000000059</v>
      </c>
    </row>
    <row r="7" spans="1:4" x14ac:dyDescent="0.3">
      <c r="A7" s="3" t="s">
        <v>56</v>
      </c>
      <c r="B7" s="4">
        <v>54305.894999999997</v>
      </c>
      <c r="C7" s="4">
        <v>2585.9949999999999</v>
      </c>
      <c r="D7" s="4">
        <v>10173.349999999997</v>
      </c>
    </row>
    <row r="8" spans="1:4" x14ac:dyDescent="0.3">
      <c r="A8" s="3" t="s">
        <v>34</v>
      </c>
      <c r="B8" s="4">
        <v>53861.913000000008</v>
      </c>
      <c r="C8" s="4">
        <v>2564.8530000000019</v>
      </c>
      <c r="D8" s="4">
        <v>8850.7099999999955</v>
      </c>
    </row>
    <row r="9" spans="1:4" x14ac:dyDescent="0.3">
      <c r="A9" s="3" t="s">
        <v>22</v>
      </c>
      <c r="B9" s="4">
        <v>49193.739000000016</v>
      </c>
      <c r="C9" s="4">
        <v>2342.5589999999993</v>
      </c>
      <c r="D9" s="4">
        <v>8337.880000000001</v>
      </c>
    </row>
    <row r="10" spans="1:4" x14ac:dyDescent="0.3">
      <c r="A10" s="3" t="s">
        <v>1126</v>
      </c>
      <c r="B10" s="4">
        <v>322966.74900000007</v>
      </c>
      <c r="C10" s="4">
        <v>15379.369000000002</v>
      </c>
      <c r="D10" s="4">
        <v>55672.13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D81B4-79D7-4A3A-A2BA-0C2163B50A53}">
  <sheetPr codeName="Sheet3"/>
  <dimension ref="A3:C7"/>
  <sheetViews>
    <sheetView tabSelected="1" topLeftCell="A2" workbookViewId="0">
      <selection activeCell="D8" sqref="D8"/>
    </sheetView>
  </sheetViews>
  <sheetFormatPr defaultRowHeight="14.4" x14ac:dyDescent="0.3"/>
  <cols>
    <col min="1" max="1" width="12.5546875" bestFit="1" customWidth="1"/>
    <col min="2" max="2" width="12" bestFit="1" customWidth="1"/>
    <col min="3" max="3" width="19.77734375" bestFit="1" customWidth="1"/>
  </cols>
  <sheetData>
    <row r="3" spans="1:3" x14ac:dyDescent="0.3">
      <c r="A3" s="2" t="s">
        <v>1125</v>
      </c>
      <c r="B3" t="s">
        <v>1132</v>
      </c>
      <c r="C3" t="s">
        <v>1135</v>
      </c>
    </row>
    <row r="4" spans="1:3" x14ac:dyDescent="0.3">
      <c r="A4" s="3" t="s">
        <v>52</v>
      </c>
      <c r="B4">
        <v>106197.67199999996</v>
      </c>
      <c r="C4">
        <v>5057.0320000000029</v>
      </c>
    </row>
    <row r="5" spans="1:3" x14ac:dyDescent="0.3">
      <c r="A5" s="3" t="s">
        <v>27</v>
      </c>
      <c r="B5">
        <v>110568.70649999994</v>
      </c>
      <c r="C5">
        <v>5265.1765000000023</v>
      </c>
    </row>
    <row r="6" spans="1:3" x14ac:dyDescent="0.3">
      <c r="A6" s="3" t="s">
        <v>19</v>
      </c>
      <c r="B6">
        <v>106200.37050000011</v>
      </c>
      <c r="C6">
        <v>5057.1605000000018</v>
      </c>
    </row>
    <row r="7" spans="1:3" x14ac:dyDescent="0.3">
      <c r="A7" s="3" t="s">
        <v>1126</v>
      </c>
      <c r="B7">
        <v>322966.74900000001</v>
      </c>
      <c r="C7">
        <v>15379.369000000006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C2E4-B13C-4F14-BBA8-78BCCEC5D2C8}">
  <sheetPr codeName="Sheet4"/>
  <dimension ref="A3:B6"/>
  <sheetViews>
    <sheetView topLeftCell="A2" workbookViewId="0">
      <selection activeCell="N22" sqref="N22"/>
    </sheetView>
  </sheetViews>
  <sheetFormatPr defaultRowHeight="14.4" x14ac:dyDescent="0.3"/>
  <cols>
    <col min="1" max="1" width="12.5546875" bestFit="1" customWidth="1"/>
    <col min="2" max="2" width="11" bestFit="1" customWidth="1"/>
    <col min="3" max="3" width="15" bestFit="1" customWidth="1"/>
  </cols>
  <sheetData>
    <row r="3" spans="1:2" x14ac:dyDescent="0.3">
      <c r="A3" s="2" t="s">
        <v>1125</v>
      </c>
      <c r="B3" t="s">
        <v>1132</v>
      </c>
    </row>
    <row r="4" spans="1:2" x14ac:dyDescent="0.3">
      <c r="A4" s="3" t="s">
        <v>20</v>
      </c>
      <c r="B4">
        <v>53704.686000000016</v>
      </c>
    </row>
    <row r="5" spans="1:2" x14ac:dyDescent="0.3">
      <c r="A5" s="3" t="s">
        <v>28</v>
      </c>
      <c r="B5">
        <v>52492.986000000026</v>
      </c>
    </row>
    <row r="6" spans="1:2" x14ac:dyDescent="0.3">
      <c r="A6" s="3" t="s">
        <v>1126</v>
      </c>
      <c r="B6">
        <v>106197.67200000005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B6C8-486E-4818-93CF-827C6C143731}">
  <sheetPr codeName="Sheet5"/>
  <dimension ref="A3:B7"/>
  <sheetViews>
    <sheetView topLeftCell="A2" zoomScaleNormal="100" workbookViewId="0">
      <selection activeCell="M12" sqref="M12"/>
    </sheetView>
  </sheetViews>
  <sheetFormatPr defaultRowHeight="14.4" x14ac:dyDescent="0.3"/>
  <cols>
    <col min="1" max="1" width="12.5546875" bestFit="1" customWidth="1"/>
    <col min="2" max="2" width="11.44140625" bestFit="1" customWidth="1"/>
    <col min="3" max="3" width="12" bestFit="1" customWidth="1"/>
  </cols>
  <sheetData>
    <row r="3" spans="1:2" x14ac:dyDescent="0.3">
      <c r="A3" s="2" t="s">
        <v>1125</v>
      </c>
      <c r="B3" t="s">
        <v>1131</v>
      </c>
    </row>
    <row r="4" spans="1:2" x14ac:dyDescent="0.3">
      <c r="A4" s="3" t="s">
        <v>52</v>
      </c>
      <c r="B4" s="4">
        <v>106197.67199999996</v>
      </c>
    </row>
    <row r="5" spans="1:2" x14ac:dyDescent="0.3">
      <c r="A5" s="3" t="s">
        <v>27</v>
      </c>
      <c r="B5" s="4">
        <v>110568.70649999994</v>
      </c>
    </row>
    <row r="6" spans="1:2" x14ac:dyDescent="0.3">
      <c r="A6" s="3" t="s">
        <v>19</v>
      </c>
      <c r="B6" s="4">
        <v>106200.37050000011</v>
      </c>
    </row>
    <row r="7" spans="1:2" x14ac:dyDescent="0.3">
      <c r="A7" s="3" t="s">
        <v>1126</v>
      </c>
      <c r="B7">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DDAE-7D3A-4989-8AD3-0BF01B141064}">
  <sheetPr codeName="Sheet6"/>
  <dimension ref="A3:B10"/>
  <sheetViews>
    <sheetView workbookViewId="0">
      <selection activeCell="K16" sqref="K16"/>
    </sheetView>
  </sheetViews>
  <sheetFormatPr defaultRowHeight="14.4" x14ac:dyDescent="0.3"/>
  <cols>
    <col min="1" max="1" width="19.109375" bestFit="1" customWidth="1"/>
    <col min="2" max="2" width="11" bestFit="1" customWidth="1"/>
    <col min="3" max="3" width="14.88671875" bestFit="1" customWidth="1"/>
  </cols>
  <sheetData>
    <row r="3" spans="1:2" x14ac:dyDescent="0.3">
      <c r="A3" s="2" t="s">
        <v>1125</v>
      </c>
      <c r="B3" t="s">
        <v>1132</v>
      </c>
    </row>
    <row r="4" spans="1:2" x14ac:dyDescent="0.3">
      <c r="A4" s="3" t="s">
        <v>29</v>
      </c>
      <c r="B4" s="5">
        <v>54337.531500000005</v>
      </c>
    </row>
    <row r="5" spans="1:2" x14ac:dyDescent="0.3">
      <c r="A5" s="3" t="s">
        <v>56</v>
      </c>
      <c r="B5" s="5">
        <v>54305.894999999997</v>
      </c>
    </row>
    <row r="6" spans="1:2" x14ac:dyDescent="0.3">
      <c r="A6" s="3" t="s">
        <v>53</v>
      </c>
      <c r="B6" s="5">
        <v>56144.844000000005</v>
      </c>
    </row>
    <row r="7" spans="1:2" x14ac:dyDescent="0.3">
      <c r="A7" s="3" t="s">
        <v>22</v>
      </c>
      <c r="B7" s="5">
        <v>49193.739000000016</v>
      </c>
    </row>
    <row r="8" spans="1:2" x14ac:dyDescent="0.3">
      <c r="A8" s="3" t="s">
        <v>34</v>
      </c>
      <c r="B8" s="5">
        <v>53861.913000000008</v>
      </c>
    </row>
    <row r="9" spans="1:2" x14ac:dyDescent="0.3">
      <c r="A9" s="3" t="s">
        <v>40</v>
      </c>
      <c r="B9" s="5">
        <v>55122.826499999996</v>
      </c>
    </row>
    <row r="10" spans="1:2" x14ac:dyDescent="0.3">
      <c r="A10" s="3" t="s">
        <v>1126</v>
      </c>
      <c r="B10">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AB82-7CFF-40A6-9A6F-9A56FA4B682D}">
  <sheetPr codeName="Sheet8"/>
  <dimension ref="A1:AG6"/>
  <sheetViews>
    <sheetView showGridLines="0" showRowColHeaders="0" zoomScale="69" zoomScaleNormal="62" workbookViewId="0">
      <selection sqref="A1:AG2"/>
    </sheetView>
  </sheetViews>
  <sheetFormatPr defaultRowHeight="14.4" x14ac:dyDescent="0.3"/>
  <cols>
    <col min="1" max="1" width="8.88671875" style="6"/>
    <col min="2" max="2" width="11.21875" style="6" customWidth="1"/>
    <col min="3" max="3" width="18.21875" style="6" customWidth="1"/>
    <col min="4" max="16384" width="8.88671875" style="6"/>
  </cols>
  <sheetData>
    <row r="1" spans="1:33" ht="30" customHeight="1" x14ac:dyDescent="0.3">
      <c r="A1" s="8" t="s">
        <v>1136</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ht="14.4" customHeight="1"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6" spans="1:33" x14ac:dyDescent="0.3">
      <c r="M6" s="7"/>
    </row>
  </sheetData>
  <sheetProtection algorithmName="SHA-512" hashValue="ppepKowiW0CVuAynsXnlJKHd513iRTFWBGYQvkVRr1WsloQtAjh9qR+Q6LNTOl8LqKkCBJWnS5N80gjrAzfrBg==" saltValue="BuDHS+DdJyzLh8N61ZciJQ==" spinCount="100000" sheet="1" objects="1" scenarios="1"/>
  <mergeCells count="1">
    <mergeCell ref="A1:AG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3F60-69BD-4725-9927-FE2ABAFD31E0}">
  <sheetPr codeName="Sheet9"/>
  <dimension ref="A3:D7"/>
  <sheetViews>
    <sheetView topLeftCell="A4" workbookViewId="0">
      <selection activeCell="F28" sqref="F28:F29"/>
    </sheetView>
  </sheetViews>
  <sheetFormatPr defaultRowHeight="14.4" x14ac:dyDescent="0.3"/>
  <cols>
    <col min="1" max="1" width="12.5546875" bestFit="1" customWidth="1"/>
    <col min="2" max="2" width="10.44140625" bestFit="1" customWidth="1"/>
    <col min="3" max="3" width="11.21875" bestFit="1" customWidth="1"/>
    <col min="4" max="4" width="16.44140625" bestFit="1" customWidth="1"/>
  </cols>
  <sheetData>
    <row r="3" spans="1:4" x14ac:dyDescent="0.3">
      <c r="A3" s="2" t="s">
        <v>1125</v>
      </c>
      <c r="B3" t="s">
        <v>1132</v>
      </c>
      <c r="C3" t="s">
        <v>1133</v>
      </c>
      <c r="D3" t="s">
        <v>1134</v>
      </c>
    </row>
    <row r="4" spans="1:4" x14ac:dyDescent="0.3">
      <c r="A4" s="3" t="s">
        <v>18</v>
      </c>
      <c r="B4" s="5">
        <v>106200.37050000011</v>
      </c>
      <c r="C4" s="5">
        <v>5057.1605000000018</v>
      </c>
      <c r="D4" s="5">
        <v>18625.489999999998</v>
      </c>
    </row>
    <row r="5" spans="1:4" x14ac:dyDescent="0.3">
      <c r="A5" s="3" t="s">
        <v>51</v>
      </c>
      <c r="B5" s="5">
        <v>106197.67199999996</v>
      </c>
      <c r="C5" s="5">
        <v>5057.0320000000029</v>
      </c>
      <c r="D5" s="5">
        <v>18478.88</v>
      </c>
    </row>
    <row r="6" spans="1:4" x14ac:dyDescent="0.3">
      <c r="A6" s="3" t="s">
        <v>26</v>
      </c>
      <c r="B6" s="5">
        <v>110568.70649999994</v>
      </c>
      <c r="C6" s="5">
        <v>5265.1765000000023</v>
      </c>
      <c r="D6" s="5">
        <v>18567.759999999998</v>
      </c>
    </row>
    <row r="7" spans="1:4" x14ac:dyDescent="0.3">
      <c r="A7" s="3" t="s">
        <v>1126</v>
      </c>
      <c r="B7" s="5">
        <v>322966.74900000001</v>
      </c>
      <c r="C7" s="5">
        <v>15379.369000000006</v>
      </c>
      <c r="D7" s="5">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91BC-8D62-4E75-86DD-618E0058CBDA}">
  <dimension ref="A3:D4"/>
  <sheetViews>
    <sheetView workbookViewId="0">
      <selection activeCell="D14" sqref="D14"/>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s>
  <sheetData>
    <row r="3" spans="1:4" x14ac:dyDescent="0.3">
      <c r="A3" t="s">
        <v>1127</v>
      </c>
      <c r="B3" t="s">
        <v>1128</v>
      </c>
      <c r="C3" t="s">
        <v>1130</v>
      </c>
      <c r="D3" t="s">
        <v>1129</v>
      </c>
    </row>
    <row r="4" spans="1:4" x14ac:dyDescent="0.3">
      <c r="A4" s="5">
        <v>322966.74900000007</v>
      </c>
      <c r="B4" s="5">
        <v>15379.369000000002</v>
      </c>
      <c r="C4" s="5">
        <v>5510</v>
      </c>
      <c r="D4" s="5">
        <v>55672.129999999983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1873-86B9-4446-B334-10C15EB6FE1D}">
  <sheetPr codeName="Sheet10"/>
  <dimension ref="A1:Q1001"/>
  <sheetViews>
    <sheetView topLeftCell="A2" workbookViewId="0">
      <selection activeCell="B5" sqref="B5"/>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9.5546875" bestFit="1" customWidth="1"/>
    <col min="12" max="12" width="8.10937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39BD70-35FB-432E-9C4B-9CC21E9256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Sheet6</vt:lpstr>
      <vt:lpstr>Sheet3</vt:lpstr>
      <vt:lpstr>Sheet7</vt:lpstr>
      <vt:lpstr>Sheet1</vt:lpstr>
      <vt:lpstr>Sheet9</vt:lpstr>
      <vt:lpstr>Sheet10</vt:lpstr>
      <vt:lpstr>Sheet2</vt:lpstr>
      <vt:lpst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Peshika S</dc:creator>
  <cp:lastModifiedBy>Peshika S</cp:lastModifiedBy>
  <cp:lastPrinted>2026-04-08T18:28:37Z</cp:lastPrinted>
  <dcterms:created xsi:type="dcterms:W3CDTF">2026-03-16T18:19:29Z</dcterms:created>
  <dcterms:modified xsi:type="dcterms:W3CDTF">2026-04-10T15:35:40Z</dcterms:modified>
</cp:coreProperties>
</file>